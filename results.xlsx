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ark-my.sharepoint.com/personal/reetamm_uark_edu/Documents/documents/GitHub/nflows/"/>
    </mc:Choice>
  </mc:AlternateContent>
  <xr:revisionPtr revIDLastSave="380" documentId="6_{62561340-28F8-4B32-AB2C-2EDB3AE13201}" xr6:coauthVersionLast="47" xr6:coauthVersionMax="47" xr10:uidLastSave="{C5A4C029-22E7-42BA-817F-21A9669A50EF}"/>
  <bookViews>
    <workbookView xWindow="-120" yWindow="-120" windowWidth="29040" windowHeight="15720" activeTab="1" xr2:uid="{6902B945-74B7-E74A-A5D5-95B25980250C}"/>
  </bookViews>
  <sheets>
    <sheet name="application" sheetId="1" state="hidden" r:id="rId1"/>
    <sheet name="application_final" sheetId="3" r:id="rId2"/>
    <sheet name="sim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1" l="1"/>
  <c r="M4" i="1"/>
  <c r="L5" i="1"/>
  <c r="M5" i="1"/>
  <c r="L6" i="1"/>
  <c r="M6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L23" i="1"/>
  <c r="M23" i="1"/>
  <c r="L24" i="1"/>
  <c r="M24" i="1"/>
  <c r="L25" i="1"/>
  <c r="M25" i="1"/>
  <c r="L26" i="1"/>
  <c r="M26" i="1"/>
  <c r="M3" i="1"/>
  <c r="L3" i="1"/>
</calcChain>
</file>

<file path=xl/sharedStrings.xml><?xml version="1.0" encoding="utf-8"?>
<sst xmlns="http://schemas.openxmlformats.org/spreadsheetml/2006/main" count="141" uniqueCount="30">
  <si>
    <t>Wass</t>
  </si>
  <si>
    <t>autocorr</t>
  </si>
  <si>
    <t>spatcorr</t>
  </si>
  <si>
    <t>wass</t>
  </si>
  <si>
    <t>prop zero</t>
  </si>
  <si>
    <t>tail</t>
  </si>
  <si>
    <t>crosscorr</t>
  </si>
  <si>
    <t>tmax</t>
  </si>
  <si>
    <t>prcp</t>
  </si>
  <si>
    <t>CCA</t>
  </si>
  <si>
    <t>QM</t>
  </si>
  <si>
    <t>SPCDE old</t>
  </si>
  <si>
    <t>space lonlat MLE</t>
  </si>
  <si>
    <t>space MLE</t>
  </si>
  <si>
    <t>spacetime MLE</t>
  </si>
  <si>
    <t>space lonlat MAP</t>
  </si>
  <si>
    <t>space MAP</t>
  </si>
  <si>
    <t>spacetime MAP</t>
  </si>
  <si>
    <t>SE</t>
  </si>
  <si>
    <t>SW</t>
  </si>
  <si>
    <t>SPCDE</t>
  </si>
  <si>
    <t>SPCDE_QM</t>
  </si>
  <si>
    <t>SPCDE_CCA</t>
  </si>
  <si>
    <t>m=5</t>
  </si>
  <si>
    <t>m=3</t>
  </si>
  <si>
    <t>m=10</t>
  </si>
  <si>
    <t>.</t>
  </si>
  <si>
    <t>Validation</t>
  </si>
  <si>
    <t>Full data</t>
  </si>
  <si>
    <t>m=5,nolonlat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</si>
</sst>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0"/>
      <color rgb="FF000000"/>
      <name val="Lucida Console"/>
      <family val="3"/>
    </font>
    <font>
      <b/>
      <sz val="12"/>
      <color theme="1"/>
      <name val="Aptos Narrow"/>
      <family val="2"/>
      <scheme val="minor"/>
    </font>
    <font>
      <b/>
      <sz val="10"/>
      <color rgb="FF000000"/>
      <name val="Lucida Console"/>
      <family val="3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0" fillId="2" borderId="0" xfId="0" applyFill="1"/>
    <xf numFmtId="0" fontId="0" fillId="3" borderId="0" xfId="0" applyFill="1"/>
    <xf numFmtId="0" fontId="4" fillId="3" borderId="0" xfId="0" applyFont="1" applyFill="1"/>
    <xf numFmtId="0" fontId="0" fillId="3" borderId="1" xfId="0" applyFill="1" applyBorder="1"/>
    <xf numFmtId="0" fontId="4" fillId="0" borderId="2" xfId="0" applyFont="1" applyBorder="1"/>
    <xf numFmtId="0" fontId="0" fillId="0" borderId="2" xfId="0" applyBorder="1"/>
    <xf numFmtId="164" fontId="0" fillId="0" borderId="0" xfId="0" applyNumberFormat="1"/>
    <xf numFmtId="164" fontId="4" fillId="0" borderId="0" xfId="0" applyNumberFormat="1" applyFont="1"/>
    <xf numFmtId="164" fontId="0" fillId="0" borderId="2" xfId="0" applyNumberFormat="1" applyBorder="1"/>
    <xf numFmtId="164" fontId="0" fillId="2" borderId="0" xfId="0" applyNumberFormat="1" applyFill="1"/>
    <xf numFmtId="164" fontId="4" fillId="2" borderId="2" xfId="0" applyNumberFormat="1" applyFont="1" applyFill="1" applyBorder="1"/>
    <xf numFmtId="164" fontId="4" fillId="2" borderId="0" xfId="0" applyNumberFormat="1" applyFont="1" applyFill="1"/>
    <xf numFmtId="164" fontId="4" fillId="0" borderId="2" xfId="0" applyNumberFormat="1" applyFont="1" applyBorder="1"/>
    <xf numFmtId="164" fontId="0" fillId="3" borderId="0" xfId="0" applyNumberFormat="1" applyFill="1"/>
    <xf numFmtId="164" fontId="0" fillId="3" borderId="2" xfId="0" applyNumberFormat="1" applyFill="1" applyBorder="1"/>
    <xf numFmtId="164" fontId="4" fillId="4" borderId="0" xfId="0" applyNumberFormat="1" applyFont="1" applyFill="1"/>
    <xf numFmtId="0" fontId="4" fillId="4" borderId="0" xfId="0" applyFont="1" applyFill="1"/>
    <xf numFmtId="164" fontId="4" fillId="4" borderId="2" xfId="0" applyNumberFormat="1" applyFont="1" applyFill="1" applyBorder="1"/>
    <xf numFmtId="164" fontId="3" fillId="0" borderId="0" xfId="0" applyNumberFormat="1" applyFont="1" applyAlignment="1">
      <alignment vertical="center"/>
    </xf>
    <xf numFmtId="164" fontId="5" fillId="0" borderId="0" xfId="0" applyNumberFormat="1" applyFont="1" applyAlignment="1">
      <alignment vertical="center"/>
    </xf>
    <xf numFmtId="0" fontId="0" fillId="0" borderId="0" xfId="0"/>
    <xf numFmtId="0" fontId="4" fillId="0" borderId="0" xfId="0" applyFont="1"/>
    <xf numFmtId="164" fontId="0" fillId="0" borderId="0" xfId="0" applyNumberFormat="1" applyFont="1"/>
    <xf numFmtId="164" fontId="0" fillId="4" borderId="0" xfId="0" applyNumberFormat="1" applyFont="1" applyFill="1"/>
    <xf numFmtId="164" fontId="0" fillId="0" borderId="2" xfId="0" applyNumberFormat="1" applyFont="1" applyBorder="1"/>
    <xf numFmtId="164" fontId="0" fillId="2" borderId="0" xfId="0" applyNumberFormat="1" applyFont="1" applyFill="1"/>
    <xf numFmtId="164" fontId="0" fillId="2" borderId="2" xfId="0" applyNumberFormat="1" applyFont="1" applyFill="1" applyBorder="1"/>
    <xf numFmtId="164" fontId="0" fillId="4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67CFB-EEEC-374D-A628-6D98B015699A}">
  <dimension ref="A2:M26"/>
  <sheetViews>
    <sheetView workbookViewId="0">
      <selection activeCell="I25" sqref="I25"/>
    </sheetView>
  </sheetViews>
  <sheetFormatPr defaultColWidth="11" defaultRowHeight="15.75" x14ac:dyDescent="0.25"/>
  <cols>
    <col min="6" max="6" width="14.5" customWidth="1"/>
  </cols>
  <sheetData>
    <row r="2" spans="1:13" x14ac:dyDescent="0.25">
      <c r="A2" t="s">
        <v>19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14</v>
      </c>
      <c r="I2" t="s">
        <v>15</v>
      </c>
      <c r="J2" t="s">
        <v>16</v>
      </c>
      <c r="K2" t="s">
        <v>17</v>
      </c>
    </row>
    <row r="3" spans="1:13" x14ac:dyDescent="0.25">
      <c r="A3" s="24" t="s">
        <v>7</v>
      </c>
      <c r="B3" t="s">
        <v>0</v>
      </c>
      <c r="C3">
        <v>0.92700000000000005</v>
      </c>
      <c r="D3">
        <v>0.30730000000000002</v>
      </c>
      <c r="E3">
        <v>0.30009999999999998</v>
      </c>
      <c r="F3" s="1">
        <v>0.31950000000000001</v>
      </c>
      <c r="G3" s="2">
        <v>0.32050000000000001</v>
      </c>
      <c r="H3">
        <v>0.31580000000000003</v>
      </c>
      <c r="I3">
        <v>0.3619</v>
      </c>
      <c r="J3">
        <v>0.36859999999999998</v>
      </c>
      <c r="K3">
        <v>0.3251</v>
      </c>
      <c r="L3">
        <f>MIN(E3:K3)</f>
        <v>0.30009999999999998</v>
      </c>
      <c r="M3">
        <f>MIN(F3:K3)</f>
        <v>0.31580000000000003</v>
      </c>
    </row>
    <row r="4" spans="1:13" x14ac:dyDescent="0.25">
      <c r="A4" s="24"/>
      <c r="B4" t="s">
        <v>5</v>
      </c>
      <c r="C4" s="1">
        <v>0.92020000000000002</v>
      </c>
      <c r="D4">
        <v>1.1135999999999999</v>
      </c>
      <c r="E4">
        <v>1.2224999999999999</v>
      </c>
      <c r="F4">
        <v>1.1363000000000001</v>
      </c>
      <c r="G4">
        <v>1.1133999999999999</v>
      </c>
      <c r="H4">
        <v>1.163</v>
      </c>
      <c r="I4">
        <v>1.0575000000000001</v>
      </c>
      <c r="J4">
        <v>1.0611999999999999</v>
      </c>
      <c r="K4">
        <v>1.0121</v>
      </c>
      <c r="L4">
        <f t="shared" ref="L4:L26" si="0">MIN(E4:K4)</f>
        <v>1.0121</v>
      </c>
      <c r="M4">
        <f t="shared" ref="M4:M26" si="1">MIN(F4:K4)</f>
        <v>1.0121</v>
      </c>
    </row>
    <row r="5" spans="1:13" hidden="1" x14ac:dyDescent="0.25">
      <c r="A5" s="24"/>
      <c r="B5" t="s">
        <v>1</v>
      </c>
      <c r="C5">
        <v>0.68730000000000002</v>
      </c>
      <c r="D5">
        <v>0.63400000000000001</v>
      </c>
      <c r="E5">
        <v>8.7800000000000003E-2</v>
      </c>
      <c r="F5">
        <v>5.3699999999999998E-2</v>
      </c>
      <c r="G5">
        <v>5.3600000000000002E-2</v>
      </c>
      <c r="H5">
        <v>9.01E-2</v>
      </c>
      <c r="I5">
        <v>5.3100000000000001E-2</v>
      </c>
      <c r="J5">
        <v>5.2999999999999999E-2</v>
      </c>
      <c r="K5">
        <v>8.3099999999999993E-2</v>
      </c>
      <c r="L5">
        <f t="shared" si="0"/>
        <v>5.2999999999999999E-2</v>
      </c>
      <c r="M5">
        <f t="shared" si="1"/>
        <v>5.2999999999999999E-2</v>
      </c>
    </row>
    <row r="6" spans="1:13" x14ac:dyDescent="0.25">
      <c r="A6" s="24"/>
      <c r="B6" t="s">
        <v>2</v>
      </c>
      <c r="C6">
        <v>7.3700000000000002E-2</v>
      </c>
      <c r="D6">
        <v>6.7000000000000004E-2</v>
      </c>
      <c r="E6">
        <v>5.67E-2</v>
      </c>
      <c r="F6">
        <v>4.8500000000000001E-2</v>
      </c>
      <c r="G6" s="1">
        <v>4.87E-2</v>
      </c>
      <c r="H6">
        <v>5.21E-2</v>
      </c>
      <c r="I6">
        <v>4.07E-2</v>
      </c>
      <c r="J6">
        <v>4.07E-2</v>
      </c>
      <c r="K6">
        <v>3.95E-2</v>
      </c>
      <c r="L6">
        <f t="shared" si="0"/>
        <v>3.95E-2</v>
      </c>
      <c r="M6">
        <f t="shared" si="1"/>
        <v>3.95E-2</v>
      </c>
    </row>
    <row r="7" spans="1:13" x14ac:dyDescent="0.25">
      <c r="A7" s="24" t="s">
        <v>8</v>
      </c>
      <c r="B7" t="s">
        <v>3</v>
      </c>
      <c r="C7">
        <v>0.54269999999999996</v>
      </c>
      <c r="D7" s="1">
        <v>0.12559999999999999</v>
      </c>
      <c r="E7">
        <v>0.10489999999999999</v>
      </c>
      <c r="F7">
        <v>0.14860000000000001</v>
      </c>
      <c r="G7">
        <v>0.14660000000000001</v>
      </c>
      <c r="H7">
        <v>0.12239999999999999</v>
      </c>
      <c r="I7">
        <v>0.1469</v>
      </c>
      <c r="J7">
        <v>0.14979999999999999</v>
      </c>
      <c r="K7">
        <v>0.11609999999999999</v>
      </c>
      <c r="L7">
        <f t="shared" si="0"/>
        <v>0.10489999999999999</v>
      </c>
      <c r="M7">
        <f t="shared" si="1"/>
        <v>0.11609999999999999</v>
      </c>
    </row>
    <row r="8" spans="1:13" x14ac:dyDescent="0.25">
      <c r="A8" s="24"/>
      <c r="B8" t="s">
        <v>5</v>
      </c>
      <c r="C8">
        <v>2.3285</v>
      </c>
      <c r="D8" s="2">
        <v>1.6519999999999999</v>
      </c>
      <c r="E8">
        <v>1.7358</v>
      </c>
      <c r="F8" s="1">
        <v>1.6948000000000001</v>
      </c>
      <c r="G8">
        <v>1.6704000000000001</v>
      </c>
      <c r="H8">
        <v>1.7757000000000001</v>
      </c>
      <c r="I8">
        <v>1.9383999999999999</v>
      </c>
      <c r="J8">
        <v>1.9638</v>
      </c>
      <c r="K8">
        <v>1.7507999999999999</v>
      </c>
      <c r="L8">
        <f t="shared" si="0"/>
        <v>1.6704000000000001</v>
      </c>
      <c r="M8">
        <f t="shared" si="1"/>
        <v>1.6704000000000001</v>
      </c>
    </row>
    <row r="9" spans="1:13" x14ac:dyDescent="0.25">
      <c r="A9" s="24"/>
      <c r="B9" t="s">
        <v>4</v>
      </c>
      <c r="C9">
        <v>0.21110000000000001</v>
      </c>
      <c r="D9">
        <v>0.22270000000000001</v>
      </c>
      <c r="E9">
        <v>0.1222</v>
      </c>
      <c r="F9" s="1">
        <v>0.1308</v>
      </c>
      <c r="G9" s="1">
        <v>0.1308</v>
      </c>
      <c r="H9">
        <v>0.12540000000000001</v>
      </c>
      <c r="I9">
        <v>0.123</v>
      </c>
      <c r="J9">
        <v>0.12429999999999999</v>
      </c>
      <c r="K9">
        <v>0.11749999999999999</v>
      </c>
      <c r="L9">
        <f t="shared" si="0"/>
        <v>0.11749999999999999</v>
      </c>
      <c r="M9">
        <f t="shared" si="1"/>
        <v>0.11749999999999999</v>
      </c>
    </row>
    <row r="10" spans="1:13" hidden="1" x14ac:dyDescent="0.25">
      <c r="A10" s="24"/>
      <c r="B10" t="s">
        <v>1</v>
      </c>
      <c r="C10">
        <v>0.41020000000000001</v>
      </c>
      <c r="D10">
        <v>0.35389999999999999</v>
      </c>
      <c r="E10">
        <v>0.14410000000000001</v>
      </c>
      <c r="F10">
        <v>0.1605</v>
      </c>
      <c r="G10">
        <v>0.15959999999999999</v>
      </c>
      <c r="H10">
        <v>0.14760000000000001</v>
      </c>
      <c r="I10">
        <v>0.1681</v>
      </c>
      <c r="J10">
        <v>0.1673</v>
      </c>
      <c r="K10">
        <v>0.14760000000000001</v>
      </c>
      <c r="L10">
        <f t="shared" si="0"/>
        <v>0.14410000000000001</v>
      </c>
      <c r="M10">
        <f t="shared" si="1"/>
        <v>0.14760000000000001</v>
      </c>
    </row>
    <row r="11" spans="1:13" x14ac:dyDescent="0.25">
      <c r="A11" s="24"/>
      <c r="B11" t="s">
        <v>2</v>
      </c>
      <c r="C11">
        <v>0.12809999999999999</v>
      </c>
      <c r="D11">
        <v>0.1283</v>
      </c>
      <c r="E11">
        <v>0.1205</v>
      </c>
      <c r="F11" s="1">
        <v>0.1138</v>
      </c>
      <c r="G11" s="2">
        <v>0.1147</v>
      </c>
      <c r="H11">
        <v>0.1217</v>
      </c>
      <c r="I11">
        <v>9.3600000000000003E-2</v>
      </c>
      <c r="J11">
        <v>9.0800000000000006E-2</v>
      </c>
      <c r="K11">
        <v>9.3200000000000005E-2</v>
      </c>
      <c r="L11">
        <f t="shared" si="0"/>
        <v>9.0800000000000006E-2</v>
      </c>
      <c r="M11">
        <f t="shared" si="1"/>
        <v>9.0800000000000006E-2</v>
      </c>
    </row>
    <row r="12" spans="1:13" x14ac:dyDescent="0.25">
      <c r="B12" t="s">
        <v>6</v>
      </c>
      <c r="C12">
        <v>0.32090000000000002</v>
      </c>
      <c r="D12">
        <v>0.32090000000000002</v>
      </c>
      <c r="E12">
        <v>1.6999999999999999E-3</v>
      </c>
      <c r="F12" s="1">
        <v>1.5E-3</v>
      </c>
      <c r="G12" s="2">
        <v>1.6999999999999999E-3</v>
      </c>
      <c r="H12">
        <v>1E-3</v>
      </c>
      <c r="I12">
        <v>1.1999999999999999E-3</v>
      </c>
      <c r="J12">
        <v>1.2999999999999999E-3</v>
      </c>
      <c r="K12">
        <v>1.1000000000000001E-3</v>
      </c>
      <c r="L12">
        <f t="shared" si="0"/>
        <v>1E-3</v>
      </c>
      <c r="M12">
        <f t="shared" si="1"/>
        <v>1E-3</v>
      </c>
    </row>
    <row r="13" spans="1:13" x14ac:dyDescent="0.25">
      <c r="L13">
        <f t="shared" si="0"/>
        <v>0</v>
      </c>
      <c r="M13">
        <f t="shared" si="1"/>
        <v>0</v>
      </c>
    </row>
    <row r="14" spans="1:13" x14ac:dyDescent="0.25">
      <c r="L14">
        <f t="shared" si="0"/>
        <v>0</v>
      </c>
      <c r="M14">
        <f t="shared" si="1"/>
        <v>0</v>
      </c>
    </row>
    <row r="15" spans="1:13" x14ac:dyDescent="0.25">
      <c r="L15">
        <f t="shared" si="0"/>
        <v>0</v>
      </c>
      <c r="M15">
        <f t="shared" si="1"/>
        <v>0</v>
      </c>
    </row>
    <row r="16" spans="1:13" x14ac:dyDescent="0.25">
      <c r="A16" t="s">
        <v>18</v>
      </c>
      <c r="C16" t="s">
        <v>9</v>
      </c>
      <c r="D16" t="s">
        <v>10</v>
      </c>
      <c r="E16" t="s">
        <v>11</v>
      </c>
      <c r="F16" t="s">
        <v>12</v>
      </c>
      <c r="G16" t="s">
        <v>13</v>
      </c>
      <c r="H16" t="s">
        <v>14</v>
      </c>
      <c r="I16" t="s">
        <v>15</v>
      </c>
      <c r="J16" t="s">
        <v>16</v>
      </c>
      <c r="K16" t="s">
        <v>17</v>
      </c>
      <c r="L16">
        <f t="shared" si="0"/>
        <v>0</v>
      </c>
      <c r="M16">
        <f t="shared" si="1"/>
        <v>0</v>
      </c>
    </row>
    <row r="17" spans="1:13" x14ac:dyDescent="0.25">
      <c r="A17" s="24" t="s">
        <v>7</v>
      </c>
      <c r="B17" t="s">
        <v>0</v>
      </c>
      <c r="C17">
        <v>1.3453999999999999</v>
      </c>
      <c r="D17">
        <v>1.6735</v>
      </c>
      <c r="E17">
        <v>1.0377000000000001</v>
      </c>
      <c r="F17">
        <v>0.90129999999999999</v>
      </c>
      <c r="G17" s="1">
        <v>0.89590000000000003</v>
      </c>
      <c r="H17">
        <v>0.99660000000000004</v>
      </c>
      <c r="I17">
        <v>0.82599999999999996</v>
      </c>
      <c r="J17">
        <v>0.83230000000000004</v>
      </c>
      <c r="K17">
        <v>0.9899</v>
      </c>
      <c r="L17">
        <f t="shared" si="0"/>
        <v>0.82599999999999996</v>
      </c>
      <c r="M17">
        <f t="shared" si="1"/>
        <v>0.82599999999999996</v>
      </c>
    </row>
    <row r="18" spans="1:13" x14ac:dyDescent="0.25">
      <c r="A18" s="24"/>
      <c r="B18" t="s">
        <v>5</v>
      </c>
      <c r="C18">
        <v>1.7515000000000001</v>
      </c>
      <c r="D18">
        <v>2.222</v>
      </c>
      <c r="E18">
        <v>1.4198</v>
      </c>
      <c r="F18" s="1">
        <v>1.246</v>
      </c>
      <c r="G18" s="2">
        <v>1.2639</v>
      </c>
      <c r="H18">
        <v>1.4242999999999999</v>
      </c>
      <c r="I18">
        <v>1.0648</v>
      </c>
      <c r="J18">
        <v>1.1298999999999999</v>
      </c>
      <c r="K18">
        <v>1.2249000000000001</v>
      </c>
      <c r="L18">
        <f t="shared" si="0"/>
        <v>1.0648</v>
      </c>
      <c r="M18">
        <f t="shared" si="1"/>
        <v>1.0648</v>
      </c>
    </row>
    <row r="19" spans="1:13" hidden="1" x14ac:dyDescent="0.25">
      <c r="A19" s="24"/>
      <c r="B19" t="s">
        <v>1</v>
      </c>
      <c r="C19">
        <v>0.67679999999999996</v>
      </c>
      <c r="D19">
        <v>0.62609999999999999</v>
      </c>
      <c r="E19">
        <v>6.1699999999999998E-2</v>
      </c>
      <c r="F19">
        <v>6.2700000000000006E-2</v>
      </c>
      <c r="G19">
        <v>6.1499999999999999E-2</v>
      </c>
      <c r="H19">
        <v>5.7700000000000001E-2</v>
      </c>
      <c r="I19">
        <v>6.5100000000000005E-2</v>
      </c>
      <c r="J19">
        <v>6.4000000000000001E-2</v>
      </c>
      <c r="K19">
        <v>6.4199999999999993E-2</v>
      </c>
      <c r="L19">
        <f t="shared" si="0"/>
        <v>5.7700000000000001E-2</v>
      </c>
      <c r="M19">
        <f t="shared" si="1"/>
        <v>5.7700000000000001E-2</v>
      </c>
    </row>
    <row r="20" spans="1:13" x14ac:dyDescent="0.25">
      <c r="A20" s="24"/>
      <c r="B20" t="s">
        <v>2</v>
      </c>
      <c r="C20">
        <v>6.5299999999999997E-2</v>
      </c>
      <c r="D20">
        <v>6.3899999999999998E-2</v>
      </c>
      <c r="E20">
        <v>2.3099999999999999E-2</v>
      </c>
      <c r="F20">
        <v>2.4199999999999999E-2</v>
      </c>
      <c r="G20" s="1">
        <v>2.3199999999999998E-2</v>
      </c>
      <c r="H20">
        <v>2.4400000000000002E-2</v>
      </c>
      <c r="I20">
        <v>3.2800000000000003E-2</v>
      </c>
      <c r="J20">
        <v>3.1800000000000002E-2</v>
      </c>
      <c r="K20">
        <v>3.78E-2</v>
      </c>
      <c r="L20">
        <f t="shared" si="0"/>
        <v>2.3099999999999999E-2</v>
      </c>
      <c r="M20">
        <f t="shared" si="1"/>
        <v>2.3199999999999998E-2</v>
      </c>
    </row>
    <row r="21" spans="1:13" x14ac:dyDescent="0.25">
      <c r="A21" s="24" t="s">
        <v>8</v>
      </c>
      <c r="B21" t="s">
        <v>3</v>
      </c>
      <c r="C21">
        <v>0.85729999999999995</v>
      </c>
      <c r="D21">
        <v>0.47799999999999998</v>
      </c>
      <c r="E21">
        <v>0.30570000000000003</v>
      </c>
      <c r="F21">
        <v>0.26590000000000003</v>
      </c>
      <c r="G21" s="1">
        <v>0.24410000000000001</v>
      </c>
      <c r="H21">
        <v>0.42699999999999999</v>
      </c>
      <c r="I21">
        <v>0.32800000000000001</v>
      </c>
      <c r="J21">
        <v>0.30630000000000002</v>
      </c>
      <c r="K21">
        <v>0.40489999999999998</v>
      </c>
      <c r="L21">
        <f t="shared" si="0"/>
        <v>0.24410000000000001</v>
      </c>
      <c r="M21">
        <f t="shared" si="1"/>
        <v>0.24410000000000001</v>
      </c>
    </row>
    <row r="22" spans="1:13" x14ac:dyDescent="0.25">
      <c r="A22" s="24"/>
      <c r="B22" t="s">
        <v>5</v>
      </c>
      <c r="C22">
        <v>4.9543999999999997</v>
      </c>
      <c r="D22">
        <v>5.8247</v>
      </c>
      <c r="E22">
        <v>4.9077000000000002</v>
      </c>
      <c r="F22">
        <v>4.9421999999999997</v>
      </c>
      <c r="G22" s="1">
        <v>4.7138999999999998</v>
      </c>
      <c r="H22">
        <v>5.1134000000000004</v>
      </c>
      <c r="I22">
        <v>4.9363999999999999</v>
      </c>
      <c r="J22">
        <v>4.6100000000000003</v>
      </c>
      <c r="K22">
        <v>5.1741000000000001</v>
      </c>
      <c r="L22">
        <f t="shared" si="0"/>
        <v>4.6100000000000003</v>
      </c>
      <c r="M22">
        <f t="shared" si="1"/>
        <v>4.6100000000000003</v>
      </c>
    </row>
    <row r="23" spans="1:13" x14ac:dyDescent="0.25">
      <c r="A23" s="24"/>
      <c r="B23" t="s">
        <v>4</v>
      </c>
      <c r="C23">
        <v>0.1056</v>
      </c>
      <c r="D23">
        <v>0.1978</v>
      </c>
      <c r="E23">
        <v>8.1799999999999998E-2</v>
      </c>
      <c r="F23" s="1">
        <v>9.9500000000000005E-2</v>
      </c>
      <c r="G23" s="2">
        <v>9.98E-2</v>
      </c>
      <c r="H23">
        <v>8.48E-2</v>
      </c>
      <c r="I23">
        <v>0.10050000000000001</v>
      </c>
      <c r="J23">
        <v>0.1021</v>
      </c>
      <c r="K23">
        <v>9.5299999999999996E-2</v>
      </c>
      <c r="L23">
        <f t="shared" si="0"/>
        <v>8.1799999999999998E-2</v>
      </c>
      <c r="M23">
        <f t="shared" si="1"/>
        <v>8.48E-2</v>
      </c>
    </row>
    <row r="24" spans="1:13" hidden="1" x14ac:dyDescent="0.25">
      <c r="A24" s="24"/>
      <c r="B24" t="s">
        <v>1</v>
      </c>
      <c r="C24">
        <v>0.29780000000000001</v>
      </c>
      <c r="D24">
        <v>0.23619999999999999</v>
      </c>
      <c r="E24">
        <v>9.7000000000000003E-2</v>
      </c>
      <c r="F24">
        <v>0.1108</v>
      </c>
      <c r="G24">
        <v>0.11210000000000001</v>
      </c>
      <c r="H24">
        <v>0.10100000000000001</v>
      </c>
      <c r="I24">
        <v>0.11070000000000001</v>
      </c>
      <c r="J24">
        <v>0.1108</v>
      </c>
      <c r="K24">
        <v>0.1</v>
      </c>
      <c r="L24">
        <f t="shared" si="0"/>
        <v>9.7000000000000003E-2</v>
      </c>
      <c r="M24">
        <f t="shared" si="1"/>
        <v>0.1</v>
      </c>
    </row>
    <row r="25" spans="1:13" x14ac:dyDescent="0.25">
      <c r="A25" s="24"/>
      <c r="B25" t="s">
        <v>2</v>
      </c>
      <c r="C25">
        <v>0.1401</v>
      </c>
      <c r="D25">
        <v>0.13819999999999999</v>
      </c>
      <c r="E25">
        <v>5.28E-2</v>
      </c>
      <c r="F25" s="1">
        <v>5.3900000000000003E-2</v>
      </c>
      <c r="G25" s="2">
        <v>5.6500000000000002E-2</v>
      </c>
      <c r="H25">
        <v>5.8500000000000003E-2</v>
      </c>
      <c r="I25">
        <v>4.82E-2</v>
      </c>
      <c r="J25">
        <v>4.7E-2</v>
      </c>
      <c r="K25">
        <v>5.2699999999999997E-2</v>
      </c>
      <c r="L25">
        <f t="shared" si="0"/>
        <v>4.7E-2</v>
      </c>
      <c r="M25">
        <f t="shared" si="1"/>
        <v>4.7E-2</v>
      </c>
    </row>
    <row r="26" spans="1:13" x14ac:dyDescent="0.25">
      <c r="B26" t="s">
        <v>6</v>
      </c>
      <c r="C26">
        <v>0.10390000000000001</v>
      </c>
      <c r="D26">
        <v>0.10390000000000001</v>
      </c>
      <c r="E26">
        <v>5.9999999999999995E-4</v>
      </c>
      <c r="F26" s="1">
        <v>6.9999999999999999E-4</v>
      </c>
      <c r="G26" s="1">
        <v>6.9999999999999999E-4</v>
      </c>
      <c r="H26">
        <v>4.0000000000000002E-4</v>
      </c>
      <c r="I26">
        <v>6.9999999999999999E-4</v>
      </c>
      <c r="J26">
        <v>6.9999999999999999E-4</v>
      </c>
      <c r="K26">
        <v>5.0000000000000001E-4</v>
      </c>
      <c r="L26">
        <f t="shared" si="0"/>
        <v>4.0000000000000002E-4</v>
      </c>
      <c r="M26">
        <f t="shared" si="1"/>
        <v>4.0000000000000002E-4</v>
      </c>
    </row>
  </sheetData>
  <mergeCells count="4">
    <mergeCell ref="A3:A6"/>
    <mergeCell ref="A7:A11"/>
    <mergeCell ref="A17:A20"/>
    <mergeCell ref="A21:A2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72D6A-14D1-F241-87EF-EAF3331B59EB}">
  <dimension ref="A1:L46"/>
  <sheetViews>
    <sheetView tabSelected="1" zoomScale="115" zoomScaleNormal="115" workbookViewId="0">
      <selection activeCell="M22" sqref="M22"/>
    </sheetView>
  </sheetViews>
  <sheetFormatPr defaultColWidth="11" defaultRowHeight="15.75" x14ac:dyDescent="0.25"/>
  <cols>
    <col min="1" max="1" width="9.625" style="3" bestFit="1" customWidth="1"/>
    <col min="3" max="5" width="5.5" bestFit="1" customWidth="1"/>
    <col min="6" max="6" width="5.5" customWidth="1"/>
    <col min="7" max="7" width="5.5" hidden="1" customWidth="1"/>
    <col min="8" max="9" width="5.5" bestFit="1" customWidth="1"/>
    <col min="10" max="10" width="5.5" style="9" bestFit="1" customWidth="1"/>
    <col min="11" max="11" width="5.5" bestFit="1" customWidth="1"/>
    <col min="12" max="12" width="11.75" hidden="1" customWidth="1"/>
  </cols>
  <sheetData>
    <row r="1" spans="1:12" s="5" customFormat="1" x14ac:dyDescent="0.25">
      <c r="A1" s="6" t="s">
        <v>27</v>
      </c>
      <c r="J1" s="7"/>
    </row>
    <row r="2" spans="1:12" s="3" customFormat="1" x14ac:dyDescent="0.25">
      <c r="A2" s="3" t="s">
        <v>19</v>
      </c>
      <c r="C2" s="3" t="s">
        <v>9</v>
      </c>
      <c r="D2" s="3" t="s">
        <v>18</v>
      </c>
      <c r="E2" s="3" t="s">
        <v>10</v>
      </c>
      <c r="F2" s="3" t="s">
        <v>18</v>
      </c>
      <c r="G2" s="3" t="s">
        <v>24</v>
      </c>
      <c r="H2" s="20" t="s">
        <v>23</v>
      </c>
      <c r="I2" s="20" t="s">
        <v>18</v>
      </c>
      <c r="J2" s="8" t="s">
        <v>25</v>
      </c>
      <c r="K2" s="3" t="s">
        <v>18</v>
      </c>
      <c r="L2" s="3" t="s">
        <v>29</v>
      </c>
    </row>
    <row r="3" spans="1:12" x14ac:dyDescent="0.25">
      <c r="A3" s="25" t="s">
        <v>7</v>
      </c>
      <c r="B3" t="s">
        <v>0</v>
      </c>
      <c r="C3" s="26">
        <v>0.92700000000000005</v>
      </c>
      <c r="D3" s="26">
        <v>9.5899999999999999E-2</v>
      </c>
      <c r="E3" s="11">
        <v>0.30730000000000002</v>
      </c>
      <c r="F3" s="26">
        <v>6.2899999999999998E-2</v>
      </c>
      <c r="G3" s="26">
        <v>0.30480000000000002</v>
      </c>
      <c r="H3" s="27">
        <v>0.31950000000000001</v>
      </c>
      <c r="I3" s="27"/>
      <c r="J3" s="28">
        <v>0.32840000000000003</v>
      </c>
      <c r="K3" s="26">
        <v>7.8700000000000006E-2</v>
      </c>
      <c r="L3" s="10">
        <v>0.3216</v>
      </c>
    </row>
    <row r="4" spans="1:12" x14ac:dyDescent="0.25">
      <c r="A4" s="25"/>
      <c r="B4" t="s">
        <v>5</v>
      </c>
      <c r="C4" s="11">
        <v>0.74909999999999999</v>
      </c>
      <c r="D4" s="26">
        <v>0.77659999999999996</v>
      </c>
      <c r="E4" s="26">
        <v>0.94620000000000004</v>
      </c>
      <c r="F4" s="26">
        <v>1.0853999999999999</v>
      </c>
      <c r="G4" s="26">
        <v>0.89449999999999996</v>
      </c>
      <c r="H4" s="27">
        <v>0.90810000000000002</v>
      </c>
      <c r="I4" s="27"/>
      <c r="J4" s="28">
        <v>0.91169999999999995</v>
      </c>
      <c r="K4" s="26">
        <v>1.0606</v>
      </c>
      <c r="L4" s="10">
        <v>0.88160000000000005</v>
      </c>
    </row>
    <row r="5" spans="1:12" s="4" customFormat="1" x14ac:dyDescent="0.25">
      <c r="A5" s="25"/>
      <c r="B5" s="4" t="s">
        <v>2</v>
      </c>
      <c r="C5" s="29">
        <v>4.1799999999999997E-2</v>
      </c>
      <c r="D5" s="29">
        <v>5.1999999999999998E-2</v>
      </c>
      <c r="E5" s="15">
        <v>3.7400000000000003E-2</v>
      </c>
      <c r="F5" s="29">
        <v>4.87E-2</v>
      </c>
      <c r="G5" s="29">
        <v>4.8800000000000003E-2</v>
      </c>
      <c r="H5" s="27">
        <v>3.9899999999999998E-2</v>
      </c>
      <c r="I5" s="27"/>
      <c r="J5" s="14">
        <v>3.73E-2</v>
      </c>
      <c r="K5" s="29">
        <v>4.9700000000000001E-2</v>
      </c>
      <c r="L5" s="13">
        <v>3.9399999999999998E-2</v>
      </c>
    </row>
    <row r="6" spans="1:12" x14ac:dyDescent="0.25">
      <c r="A6" s="25" t="s">
        <v>8</v>
      </c>
      <c r="B6" t="s">
        <v>3</v>
      </c>
      <c r="C6" s="26">
        <v>0.54269999999999996</v>
      </c>
      <c r="D6" s="26">
        <v>0.15429999999999999</v>
      </c>
      <c r="E6" s="11">
        <v>0.12559999999999999</v>
      </c>
      <c r="F6" s="26">
        <v>2.5999999999999999E-2</v>
      </c>
      <c r="G6" s="26">
        <v>0.13969999999999999</v>
      </c>
      <c r="H6" s="27">
        <v>0.14860000000000001</v>
      </c>
      <c r="I6" s="27"/>
      <c r="J6" s="28">
        <v>0.14580000000000001</v>
      </c>
      <c r="K6" s="26">
        <v>6.0299999999999999E-2</v>
      </c>
      <c r="L6" s="10">
        <v>0.14699999999999999</v>
      </c>
    </row>
    <row r="7" spans="1:12" x14ac:dyDescent="0.25">
      <c r="A7" s="25"/>
      <c r="B7" t="s">
        <v>5</v>
      </c>
      <c r="C7" s="26">
        <v>1.927</v>
      </c>
      <c r="D7" s="26">
        <v>1.5302</v>
      </c>
      <c r="E7" s="11">
        <v>1.276</v>
      </c>
      <c r="F7" s="26">
        <v>1.6495</v>
      </c>
      <c r="G7" s="26">
        <v>1.2889999999999999</v>
      </c>
      <c r="H7" s="27">
        <v>1.2894000000000001</v>
      </c>
      <c r="I7" s="27"/>
      <c r="J7" s="28">
        <v>1.3023</v>
      </c>
      <c r="K7" s="26">
        <v>1.6036999999999999</v>
      </c>
      <c r="L7" s="10">
        <v>1.2714000000000001</v>
      </c>
    </row>
    <row r="8" spans="1:12" x14ac:dyDescent="0.25">
      <c r="A8" s="25"/>
      <c r="B8" t="s">
        <v>4</v>
      </c>
      <c r="C8" s="26">
        <v>0.1764</v>
      </c>
      <c r="D8" s="26">
        <v>0.17530000000000001</v>
      </c>
      <c r="E8" s="26">
        <v>0.17080000000000001</v>
      </c>
      <c r="F8" s="26">
        <v>0.2147</v>
      </c>
      <c r="G8" s="26">
        <v>0.10340000000000001</v>
      </c>
      <c r="H8" s="27">
        <v>0.1036</v>
      </c>
      <c r="I8" s="27"/>
      <c r="J8" s="16">
        <v>0.1032</v>
      </c>
      <c r="K8" s="26">
        <v>0.1074</v>
      </c>
      <c r="L8" s="10">
        <v>0.10349999999999999</v>
      </c>
    </row>
    <row r="9" spans="1:12" s="4" customFormat="1" x14ac:dyDescent="0.25">
      <c r="A9" s="25"/>
      <c r="B9" s="4" t="s">
        <v>2</v>
      </c>
      <c r="C9" s="15">
        <v>9.6100000000000005E-2</v>
      </c>
      <c r="D9" s="29">
        <v>0.1237</v>
      </c>
      <c r="E9" s="29">
        <v>0.11650000000000001</v>
      </c>
      <c r="F9" s="29">
        <v>0.15060000000000001</v>
      </c>
      <c r="G9" s="29">
        <v>0.12740000000000001</v>
      </c>
      <c r="H9" s="27">
        <v>0.1275</v>
      </c>
      <c r="I9" s="27"/>
      <c r="J9" s="30">
        <v>0.12839999999999999</v>
      </c>
      <c r="K9" s="29">
        <v>0.1605</v>
      </c>
      <c r="L9" s="13">
        <v>0.12770000000000001</v>
      </c>
    </row>
    <row r="10" spans="1:12" x14ac:dyDescent="0.25">
      <c r="B10" t="s">
        <v>6</v>
      </c>
      <c r="C10" s="26">
        <v>0.29749999999999999</v>
      </c>
      <c r="D10" s="26">
        <v>0.1207</v>
      </c>
      <c r="E10" s="26">
        <v>0.29749999999999999</v>
      </c>
      <c r="F10" s="26">
        <v>0.1207</v>
      </c>
      <c r="G10" s="26">
        <v>8.0000000000000004E-4</v>
      </c>
      <c r="H10" s="27">
        <v>8.0000000000000004E-4</v>
      </c>
      <c r="I10" s="27"/>
      <c r="J10" s="16">
        <v>8.0000000000000004E-4</v>
      </c>
      <c r="K10" s="26">
        <v>1.4E-3</v>
      </c>
      <c r="L10" s="10">
        <v>8.0000000000000004E-4</v>
      </c>
    </row>
    <row r="11" spans="1:12" x14ac:dyDescent="0.25">
      <c r="C11" s="10"/>
      <c r="D11" s="10"/>
      <c r="E11" s="10"/>
      <c r="F11" s="10"/>
      <c r="G11" s="10"/>
      <c r="H11" s="10"/>
      <c r="I11" s="10"/>
      <c r="J11" s="12"/>
      <c r="K11" s="10"/>
      <c r="L11" s="10"/>
    </row>
    <row r="12" spans="1:12" x14ac:dyDescent="0.25">
      <c r="C12" s="10"/>
      <c r="D12" s="10"/>
      <c r="E12" s="10"/>
      <c r="F12" s="10"/>
      <c r="G12" s="10"/>
      <c r="H12" s="10"/>
      <c r="I12" s="10"/>
      <c r="J12" s="12"/>
      <c r="K12" s="10"/>
      <c r="L12" s="10"/>
    </row>
    <row r="13" spans="1:12" x14ac:dyDescent="0.25">
      <c r="C13" s="10"/>
      <c r="D13" s="10"/>
      <c r="E13" s="10"/>
      <c r="F13" s="10"/>
      <c r="G13" s="10"/>
      <c r="H13" s="10"/>
      <c r="I13" s="10"/>
      <c r="J13" s="12"/>
      <c r="K13" s="10"/>
      <c r="L13" s="10"/>
    </row>
    <row r="14" spans="1:12" s="3" customFormat="1" x14ac:dyDescent="0.25">
      <c r="A14" s="3" t="s">
        <v>18</v>
      </c>
      <c r="C14" s="11" t="s">
        <v>9</v>
      </c>
      <c r="D14" s="3" t="s">
        <v>18</v>
      </c>
      <c r="E14" s="11" t="s">
        <v>10</v>
      </c>
      <c r="F14" s="3" t="s">
        <v>18</v>
      </c>
      <c r="G14" s="11" t="s">
        <v>24</v>
      </c>
      <c r="H14" s="19" t="s">
        <v>23</v>
      </c>
      <c r="I14" s="20" t="s">
        <v>18</v>
      </c>
      <c r="J14" s="16" t="s">
        <v>25</v>
      </c>
      <c r="K14" s="11" t="s">
        <v>18</v>
      </c>
      <c r="L14" s="11" t="s">
        <v>29</v>
      </c>
    </row>
    <row r="15" spans="1:12" x14ac:dyDescent="0.25">
      <c r="A15" s="25" t="s">
        <v>7</v>
      </c>
      <c r="B15" t="s">
        <v>0</v>
      </c>
      <c r="C15" s="26">
        <v>1.3453999999999999</v>
      </c>
      <c r="D15" s="26">
        <v>1.1063000000000001</v>
      </c>
      <c r="E15" s="26">
        <v>1.6735</v>
      </c>
      <c r="F15" s="26">
        <v>0.89019999999999999</v>
      </c>
      <c r="G15" s="26">
        <v>0.90720000000000001</v>
      </c>
      <c r="H15" s="27">
        <v>0.90129999999999999</v>
      </c>
      <c r="I15" s="27"/>
      <c r="J15" s="16">
        <v>0.89800000000000002</v>
      </c>
      <c r="K15" s="26">
        <v>0.13880000000000001</v>
      </c>
      <c r="L15" s="10">
        <v>0.90159999999999996</v>
      </c>
    </row>
    <row r="16" spans="1:12" x14ac:dyDescent="0.25">
      <c r="A16" s="25"/>
      <c r="B16" t="s">
        <v>5</v>
      </c>
      <c r="C16" s="26">
        <v>1.2756000000000001</v>
      </c>
      <c r="D16" s="26">
        <v>1.7525999999999999</v>
      </c>
      <c r="E16" s="26">
        <v>1.7665999999999999</v>
      </c>
      <c r="F16" s="26">
        <v>1.8143</v>
      </c>
      <c r="G16" s="26">
        <v>0.96599999999999997</v>
      </c>
      <c r="H16" s="27">
        <v>0.95640000000000003</v>
      </c>
      <c r="I16" s="27"/>
      <c r="J16" s="16">
        <v>1.0222</v>
      </c>
      <c r="K16" s="26">
        <v>1.1033999999999999</v>
      </c>
      <c r="L16" s="10">
        <v>0.98860000000000003</v>
      </c>
    </row>
    <row r="17" spans="1:12" s="4" customFormat="1" x14ac:dyDescent="0.25">
      <c r="A17" s="25"/>
      <c r="B17" s="4" t="s">
        <v>2</v>
      </c>
      <c r="C17" s="29">
        <v>5.7599999999999998E-2</v>
      </c>
      <c r="D17" s="29">
        <v>8.1900000000000001E-2</v>
      </c>
      <c r="E17" s="29">
        <v>5.7099999999999998E-2</v>
      </c>
      <c r="F17" s="29">
        <v>7.9699999999999993E-2</v>
      </c>
      <c r="G17" s="29">
        <v>3.7100000000000001E-2</v>
      </c>
      <c r="H17" s="27">
        <v>3.5999999999999997E-2</v>
      </c>
      <c r="I17" s="27"/>
      <c r="J17" s="14">
        <v>3.5499999999999997E-2</v>
      </c>
      <c r="K17" s="29">
        <v>4.7899999999999998E-2</v>
      </c>
      <c r="L17" s="13">
        <v>3.5900000000000001E-2</v>
      </c>
    </row>
    <row r="18" spans="1:12" x14ac:dyDescent="0.25">
      <c r="A18" s="25" t="s">
        <v>8</v>
      </c>
      <c r="B18" t="s">
        <v>3</v>
      </c>
      <c r="C18" s="26">
        <v>0.85729999999999995</v>
      </c>
      <c r="D18" s="26">
        <v>0.23469999999999999</v>
      </c>
      <c r="E18" s="26">
        <v>0.47799999999999998</v>
      </c>
      <c r="F18" s="26">
        <v>0.14330000000000001</v>
      </c>
      <c r="G18" s="26">
        <v>0.25869999999999999</v>
      </c>
      <c r="H18" s="27">
        <v>0.26590000000000003</v>
      </c>
      <c r="I18" s="27"/>
      <c r="J18" s="16">
        <v>0.2331</v>
      </c>
      <c r="K18" s="26">
        <v>4.9700000000000001E-2</v>
      </c>
      <c r="L18" s="10">
        <v>0.24440000000000001</v>
      </c>
    </row>
    <row r="19" spans="1:12" x14ac:dyDescent="0.25">
      <c r="A19" s="25"/>
      <c r="B19" t="s">
        <v>5</v>
      </c>
      <c r="C19" s="26">
        <v>4.0202999999999998</v>
      </c>
      <c r="D19" s="26">
        <v>3.4417</v>
      </c>
      <c r="E19" s="26">
        <v>4.66</v>
      </c>
      <c r="F19" s="26">
        <v>5.7911999999999999</v>
      </c>
      <c r="G19" s="26">
        <v>3.8509000000000002</v>
      </c>
      <c r="H19" s="27">
        <v>4.1157000000000004</v>
      </c>
      <c r="I19" s="27"/>
      <c r="J19" s="16">
        <v>4.0395000000000003</v>
      </c>
      <c r="K19" s="26">
        <v>5.0574000000000003</v>
      </c>
      <c r="L19" s="10">
        <v>3.8353000000000002</v>
      </c>
    </row>
    <row r="20" spans="1:12" x14ac:dyDescent="0.25">
      <c r="A20" s="25"/>
      <c r="B20" t="s">
        <v>4</v>
      </c>
      <c r="C20" s="11">
        <v>8.3900000000000002E-2</v>
      </c>
      <c r="D20" s="26">
        <v>9.35E-2</v>
      </c>
      <c r="E20" s="26">
        <v>0.1656</v>
      </c>
      <c r="F20" s="26">
        <v>0.19420000000000001</v>
      </c>
      <c r="G20" s="26">
        <v>8.09E-2</v>
      </c>
      <c r="H20" s="27">
        <v>8.4599999999999995E-2</v>
      </c>
      <c r="I20" s="27"/>
      <c r="J20" s="28">
        <v>8.5800000000000001E-2</v>
      </c>
      <c r="K20" s="26">
        <v>6.5500000000000003E-2</v>
      </c>
      <c r="L20" s="10">
        <v>8.48E-2</v>
      </c>
    </row>
    <row r="21" spans="1:12" s="4" customFormat="1" x14ac:dyDescent="0.25">
      <c r="A21" s="25"/>
      <c r="B21" s="4" t="s">
        <v>2</v>
      </c>
      <c r="C21" s="29">
        <v>9.0499999999999997E-2</v>
      </c>
      <c r="D21" s="29">
        <v>0.1094</v>
      </c>
      <c r="E21" s="29">
        <v>9.9400000000000002E-2</v>
      </c>
      <c r="F21" s="29">
        <v>0.1285</v>
      </c>
      <c r="G21" s="29">
        <v>7.9100000000000004E-2</v>
      </c>
      <c r="H21" s="27">
        <v>7.9399999999999998E-2</v>
      </c>
      <c r="I21" s="27"/>
      <c r="J21" s="14">
        <v>7.9799999999999996E-2</v>
      </c>
      <c r="K21" s="29">
        <v>0.1011</v>
      </c>
      <c r="L21" s="13">
        <v>7.9100000000000004E-2</v>
      </c>
    </row>
    <row r="22" spans="1:12" x14ac:dyDescent="0.25">
      <c r="B22" t="s">
        <v>6</v>
      </c>
      <c r="C22" s="26">
        <v>8.5500000000000007E-2</v>
      </c>
      <c r="D22" s="26">
        <v>7.9100000000000004E-2</v>
      </c>
      <c r="E22" s="26">
        <v>8.5500000000000007E-2</v>
      </c>
      <c r="F22" s="26">
        <v>7.9100000000000004E-2</v>
      </c>
      <c r="G22" s="26">
        <v>5.0000000000000001E-4</v>
      </c>
      <c r="H22" s="27">
        <v>5.0000000000000001E-4</v>
      </c>
      <c r="I22" s="27"/>
      <c r="J22" s="16">
        <v>5.0000000000000001E-4</v>
      </c>
      <c r="K22" s="26">
        <v>6.9999999999999999E-4</v>
      </c>
      <c r="L22" s="10">
        <v>5.0000000000000001E-4</v>
      </c>
    </row>
    <row r="23" spans="1:12" x14ac:dyDescent="0.25">
      <c r="C23" s="10"/>
      <c r="D23" s="10"/>
      <c r="E23" s="10"/>
      <c r="F23" s="10"/>
      <c r="G23" s="10"/>
      <c r="H23" s="10"/>
      <c r="I23" s="10"/>
      <c r="J23" s="12"/>
      <c r="K23" s="10"/>
      <c r="L23" s="10"/>
    </row>
    <row r="24" spans="1:12" x14ac:dyDescent="0.25">
      <c r="C24" s="10"/>
      <c r="D24" s="10"/>
      <c r="E24" s="10"/>
      <c r="F24" s="10"/>
      <c r="G24" s="10"/>
      <c r="H24" s="10" t="s">
        <v>26</v>
      </c>
      <c r="I24" s="10"/>
      <c r="J24" s="12"/>
      <c r="K24" s="10"/>
      <c r="L24" s="10"/>
    </row>
    <row r="25" spans="1:12" s="5" customFormat="1" x14ac:dyDescent="0.25">
      <c r="A25" s="6" t="s">
        <v>28</v>
      </c>
      <c r="C25" s="17"/>
      <c r="D25" s="17"/>
      <c r="E25" s="17"/>
      <c r="F25" s="17"/>
      <c r="G25" s="17"/>
      <c r="H25" s="17"/>
      <c r="I25" s="17"/>
      <c r="J25" s="18"/>
      <c r="K25" s="17"/>
      <c r="L25" s="17"/>
    </row>
    <row r="26" spans="1:12" s="3" customFormat="1" x14ac:dyDescent="0.25">
      <c r="A26" s="3" t="s">
        <v>19</v>
      </c>
      <c r="C26" s="11" t="s">
        <v>9</v>
      </c>
      <c r="D26" s="3" t="s">
        <v>18</v>
      </c>
      <c r="E26" s="11" t="s">
        <v>10</v>
      </c>
      <c r="F26" s="3" t="s">
        <v>18</v>
      </c>
      <c r="G26" s="11" t="s">
        <v>24</v>
      </c>
      <c r="H26" s="11" t="s">
        <v>23</v>
      </c>
      <c r="I26" s="3" t="s">
        <v>18</v>
      </c>
      <c r="J26" s="21" t="s">
        <v>25</v>
      </c>
      <c r="K26" s="19"/>
      <c r="L26" s="11"/>
    </row>
    <row r="27" spans="1:12" x14ac:dyDescent="0.25">
      <c r="A27" s="25" t="s">
        <v>7</v>
      </c>
      <c r="B27" t="s">
        <v>0</v>
      </c>
      <c r="C27" s="26">
        <v>0.12230000000000001</v>
      </c>
      <c r="D27" s="26">
        <v>5.1200000000000002E-2</v>
      </c>
      <c r="E27" s="11">
        <v>0.1057</v>
      </c>
      <c r="F27" s="26">
        <v>1.9800000000000002E-2</v>
      </c>
      <c r="G27" s="26"/>
      <c r="H27" s="26">
        <v>0.1202</v>
      </c>
      <c r="I27" s="26">
        <v>3.4500000000000003E-2</v>
      </c>
      <c r="J27" s="31">
        <v>0.12809999999999999</v>
      </c>
      <c r="K27" s="27"/>
      <c r="L27" s="10"/>
    </row>
    <row r="28" spans="1:12" x14ac:dyDescent="0.25">
      <c r="A28" s="25"/>
      <c r="B28" t="s">
        <v>5</v>
      </c>
      <c r="C28" s="26">
        <v>0.28770000000000001</v>
      </c>
      <c r="D28" s="26">
        <v>0.3256</v>
      </c>
      <c r="E28" s="11">
        <v>0.2329</v>
      </c>
      <c r="F28" s="26">
        <v>0.32750000000000001</v>
      </c>
      <c r="G28" s="26"/>
      <c r="H28" s="26">
        <v>0.34620000000000001</v>
      </c>
      <c r="I28" s="26">
        <v>0.47799999999999998</v>
      </c>
      <c r="J28" s="31">
        <v>0.33500000000000002</v>
      </c>
      <c r="K28" s="27"/>
      <c r="L28" s="10"/>
    </row>
    <row r="29" spans="1:12" x14ac:dyDescent="0.25">
      <c r="A29" s="25"/>
      <c r="B29" s="4" t="s">
        <v>2</v>
      </c>
      <c r="C29" s="29">
        <v>6.0199999999999997E-2</v>
      </c>
      <c r="D29" s="29">
        <v>4.7100000000000003E-2</v>
      </c>
      <c r="E29" s="29">
        <v>3.6700000000000003E-2</v>
      </c>
      <c r="F29" s="29">
        <v>4.3900000000000002E-2</v>
      </c>
      <c r="G29" s="29"/>
      <c r="H29" s="15">
        <v>2.6599999999999999E-2</v>
      </c>
      <c r="I29" s="29">
        <v>3.3599999999999998E-2</v>
      </c>
      <c r="J29" s="31">
        <v>2.3800000000000002E-2</v>
      </c>
      <c r="K29" s="27"/>
      <c r="L29" s="10"/>
    </row>
    <row r="30" spans="1:12" x14ac:dyDescent="0.25">
      <c r="A30" s="25" t="s">
        <v>8</v>
      </c>
      <c r="B30" t="s">
        <v>3</v>
      </c>
      <c r="C30" s="26">
        <v>0.4083</v>
      </c>
      <c r="D30" s="26">
        <v>0.1074</v>
      </c>
      <c r="E30" s="26">
        <v>0.1537</v>
      </c>
      <c r="F30" s="26">
        <v>2.9600000000000001E-2</v>
      </c>
      <c r="G30" s="26"/>
      <c r="H30" s="11">
        <v>7.4499999999999997E-2</v>
      </c>
      <c r="I30" s="26">
        <v>3.0099999999999998E-2</v>
      </c>
      <c r="J30" s="31">
        <v>7.7600000000000002E-2</v>
      </c>
      <c r="K30" s="27"/>
      <c r="L30" s="10"/>
    </row>
    <row r="31" spans="1:12" x14ac:dyDescent="0.25">
      <c r="A31" s="25"/>
      <c r="B31" t="s">
        <v>5</v>
      </c>
      <c r="C31" s="26">
        <v>0.54579999999999995</v>
      </c>
      <c r="D31" s="26">
        <v>0.67430000000000001</v>
      </c>
      <c r="E31" s="11">
        <v>0.31809999999999999</v>
      </c>
      <c r="F31" s="26">
        <v>0.39389999999999997</v>
      </c>
      <c r="G31" s="26"/>
      <c r="H31" s="26">
        <v>0.74119999999999997</v>
      </c>
      <c r="I31" s="26">
        <v>0.9899</v>
      </c>
      <c r="J31" s="31">
        <v>0.67479999999999996</v>
      </c>
      <c r="K31" s="27"/>
      <c r="L31" s="10"/>
    </row>
    <row r="32" spans="1:12" x14ac:dyDescent="0.25">
      <c r="A32" s="25"/>
      <c r="B32" t="s">
        <v>4</v>
      </c>
      <c r="C32" s="26">
        <v>0.23100000000000001</v>
      </c>
      <c r="D32" s="26">
        <v>0.12770000000000001</v>
      </c>
      <c r="E32" s="26">
        <v>0.18640000000000001</v>
      </c>
      <c r="F32" s="26">
        <v>0.11890000000000001</v>
      </c>
      <c r="G32" s="26"/>
      <c r="H32" s="11">
        <v>3.1099999999999999E-2</v>
      </c>
      <c r="I32" s="26">
        <v>2.63E-2</v>
      </c>
      <c r="J32" s="31">
        <v>3.0200000000000001E-2</v>
      </c>
      <c r="K32" s="27"/>
      <c r="L32" s="10"/>
    </row>
    <row r="33" spans="1:12" x14ac:dyDescent="0.25">
      <c r="A33" s="25"/>
      <c r="B33" s="4" t="s">
        <v>2</v>
      </c>
      <c r="C33" s="29">
        <v>0.1439</v>
      </c>
      <c r="D33" s="29">
        <v>8.7599999999999997E-2</v>
      </c>
      <c r="E33" s="29">
        <v>7.6100000000000001E-2</v>
      </c>
      <c r="F33" s="29">
        <v>9.8500000000000004E-2</v>
      </c>
      <c r="G33" s="29"/>
      <c r="H33" s="15">
        <v>7.5800000000000006E-2</v>
      </c>
      <c r="I33" s="29">
        <v>9.4299999999999995E-2</v>
      </c>
      <c r="J33" s="31">
        <v>7.3400000000000007E-2</v>
      </c>
      <c r="K33" s="27"/>
      <c r="L33" s="10"/>
    </row>
    <row r="34" spans="1:12" x14ac:dyDescent="0.25">
      <c r="B34" t="s">
        <v>6</v>
      </c>
      <c r="C34" s="26">
        <v>0.30690000000000001</v>
      </c>
      <c r="D34" s="26">
        <v>0.1095</v>
      </c>
      <c r="E34" s="26">
        <v>0.30690000000000001</v>
      </c>
      <c r="F34" s="26">
        <v>0.1095</v>
      </c>
      <c r="G34" s="26"/>
      <c r="H34" s="11">
        <v>5.0000000000000001E-4</v>
      </c>
      <c r="I34" s="26">
        <v>5.0000000000000001E-4</v>
      </c>
      <c r="J34" s="31">
        <v>5.0000000000000001E-4</v>
      </c>
      <c r="K34" s="27"/>
      <c r="L34" s="10"/>
    </row>
    <row r="35" spans="1:12" x14ac:dyDescent="0.25">
      <c r="C35" s="10"/>
      <c r="D35" s="10"/>
      <c r="E35" s="10"/>
      <c r="F35" s="10"/>
      <c r="G35" s="10"/>
      <c r="H35" s="10"/>
      <c r="I35" s="10"/>
      <c r="J35" s="12"/>
      <c r="K35" s="10"/>
      <c r="L35" s="10"/>
    </row>
    <row r="36" spans="1:12" x14ac:dyDescent="0.25">
      <c r="C36" s="10"/>
      <c r="D36" s="10"/>
      <c r="E36" s="10"/>
      <c r="F36" s="10"/>
      <c r="G36" s="10"/>
      <c r="H36" s="10"/>
      <c r="I36" s="10"/>
      <c r="J36" s="12"/>
      <c r="K36" s="10"/>
      <c r="L36" s="10"/>
    </row>
    <row r="37" spans="1:12" x14ac:dyDescent="0.25">
      <c r="C37" s="10"/>
      <c r="D37" s="10"/>
      <c r="E37" s="10"/>
      <c r="F37" s="10"/>
      <c r="G37" s="10"/>
      <c r="H37" s="10"/>
      <c r="I37" s="10"/>
      <c r="J37" s="12"/>
      <c r="K37" s="10"/>
      <c r="L37" s="10"/>
    </row>
    <row r="38" spans="1:12" s="3" customFormat="1" x14ac:dyDescent="0.25">
      <c r="A38" s="3" t="s">
        <v>18</v>
      </c>
      <c r="C38" s="11" t="s">
        <v>9</v>
      </c>
      <c r="D38" s="3" t="s">
        <v>18</v>
      </c>
      <c r="E38" s="11" t="s">
        <v>10</v>
      </c>
      <c r="F38" s="3" t="s">
        <v>18</v>
      </c>
      <c r="G38" s="11" t="s">
        <v>24</v>
      </c>
      <c r="H38" s="11" t="s">
        <v>23</v>
      </c>
      <c r="I38" s="11"/>
      <c r="J38" s="21" t="s">
        <v>25</v>
      </c>
      <c r="K38" s="19"/>
      <c r="L38" s="11"/>
    </row>
    <row r="39" spans="1:12" x14ac:dyDescent="0.25">
      <c r="A39" s="25" t="s">
        <v>7</v>
      </c>
      <c r="B39" t="s">
        <v>0</v>
      </c>
      <c r="C39" s="26">
        <v>1.2413000000000001</v>
      </c>
      <c r="D39" s="26">
        <v>1.1631</v>
      </c>
      <c r="E39" s="26">
        <v>1.2391000000000001</v>
      </c>
      <c r="F39" s="26">
        <v>1.1624000000000001</v>
      </c>
      <c r="G39" s="26"/>
      <c r="H39" s="11">
        <v>0.125</v>
      </c>
      <c r="I39" s="26">
        <v>2.93E-2</v>
      </c>
      <c r="J39" s="31">
        <v>0.1245</v>
      </c>
      <c r="K39" s="19"/>
      <c r="L39" s="10"/>
    </row>
    <row r="40" spans="1:12" x14ac:dyDescent="0.25">
      <c r="A40" s="25"/>
      <c r="B40" t="s">
        <v>5</v>
      </c>
      <c r="C40" s="26">
        <v>1.2202</v>
      </c>
      <c r="D40" s="26">
        <v>1.6478999999999999</v>
      </c>
      <c r="E40" s="26">
        <v>1.1217999999999999</v>
      </c>
      <c r="F40" s="26">
        <v>1.5956999999999999</v>
      </c>
      <c r="G40" s="26"/>
      <c r="H40" s="11">
        <v>0.39129999999999998</v>
      </c>
      <c r="I40" s="26">
        <v>0.51100000000000001</v>
      </c>
      <c r="J40" s="31">
        <v>0.42259999999999998</v>
      </c>
      <c r="K40" s="19"/>
      <c r="L40" s="10"/>
    </row>
    <row r="41" spans="1:12" x14ac:dyDescent="0.25">
      <c r="A41" s="25"/>
      <c r="B41" s="4" t="s">
        <v>2</v>
      </c>
      <c r="C41" s="29">
        <v>5.2299999999999999E-2</v>
      </c>
      <c r="D41" s="29">
        <v>7.2400000000000006E-2</v>
      </c>
      <c r="E41" s="29">
        <v>4.8500000000000001E-2</v>
      </c>
      <c r="F41" s="29">
        <v>7.0800000000000002E-2</v>
      </c>
      <c r="G41" s="29"/>
      <c r="H41" s="15">
        <v>2.06E-2</v>
      </c>
      <c r="I41" s="29">
        <v>2.5499999999999998E-2</v>
      </c>
      <c r="J41" s="31">
        <v>1.9800000000000002E-2</v>
      </c>
      <c r="K41" s="19"/>
      <c r="L41" s="10"/>
    </row>
    <row r="42" spans="1:12" x14ac:dyDescent="0.25">
      <c r="A42" s="25" t="s">
        <v>8</v>
      </c>
      <c r="B42" t="s">
        <v>3</v>
      </c>
      <c r="C42" s="26">
        <v>0.68510000000000004</v>
      </c>
      <c r="D42" s="26">
        <v>0.16839999999999999</v>
      </c>
      <c r="E42" s="26">
        <v>0.54990000000000006</v>
      </c>
      <c r="F42" s="26">
        <v>0.112</v>
      </c>
      <c r="G42" s="26"/>
      <c r="H42" s="11">
        <v>0.216</v>
      </c>
      <c r="I42" s="26">
        <v>9.6600000000000005E-2</v>
      </c>
      <c r="J42" s="31">
        <v>0.2301</v>
      </c>
      <c r="K42" s="19"/>
      <c r="L42" s="10"/>
    </row>
    <row r="43" spans="1:12" x14ac:dyDescent="0.25">
      <c r="A43" s="25"/>
      <c r="B43" t="s">
        <v>5</v>
      </c>
      <c r="C43" s="26">
        <v>2.0962000000000001</v>
      </c>
      <c r="D43" s="26">
        <v>2.5621</v>
      </c>
      <c r="E43" s="26">
        <v>1.9834000000000001</v>
      </c>
      <c r="F43" s="26">
        <v>2.5181</v>
      </c>
      <c r="G43" s="26"/>
      <c r="H43" s="11">
        <v>1.9207000000000001</v>
      </c>
      <c r="I43" s="26">
        <v>2.2746</v>
      </c>
      <c r="J43" s="31">
        <v>1.9759</v>
      </c>
      <c r="K43" s="19"/>
      <c r="L43" s="10"/>
    </row>
    <row r="44" spans="1:12" x14ac:dyDescent="0.25">
      <c r="A44" s="25"/>
      <c r="B44" t="s">
        <v>4</v>
      </c>
      <c r="C44" s="26">
        <v>0.1111</v>
      </c>
      <c r="D44" s="26">
        <v>8.5300000000000001E-2</v>
      </c>
      <c r="E44" s="26">
        <v>0.14269999999999999</v>
      </c>
      <c r="F44" s="26">
        <v>0.1074</v>
      </c>
      <c r="G44" s="26"/>
      <c r="H44" s="11">
        <v>2.07E-2</v>
      </c>
      <c r="I44" s="26">
        <v>2.2599999999999999E-2</v>
      </c>
      <c r="J44" s="31">
        <v>1.9900000000000001E-2</v>
      </c>
      <c r="K44" s="19"/>
      <c r="L44" s="10"/>
    </row>
    <row r="45" spans="1:12" x14ac:dyDescent="0.25">
      <c r="A45" s="25"/>
      <c r="B45" s="4" t="s">
        <v>2</v>
      </c>
      <c r="C45" s="29">
        <v>9.6799999999999997E-2</v>
      </c>
      <c r="D45" s="29">
        <v>0.11210000000000001</v>
      </c>
      <c r="E45" s="29">
        <v>7.9100000000000004E-2</v>
      </c>
      <c r="F45" s="29">
        <v>0.1008</v>
      </c>
      <c r="G45" s="29"/>
      <c r="H45" s="15">
        <v>4.2500000000000003E-2</v>
      </c>
      <c r="I45" s="29">
        <v>5.3100000000000001E-2</v>
      </c>
      <c r="J45" s="31">
        <v>4.2900000000000001E-2</v>
      </c>
      <c r="K45" s="19"/>
      <c r="L45" s="10"/>
    </row>
    <row r="46" spans="1:12" x14ac:dyDescent="0.25">
      <c r="B46" t="s">
        <v>6</v>
      </c>
      <c r="C46" s="26">
        <v>8.2000000000000003E-2</v>
      </c>
      <c r="D46" s="26">
        <v>5.7599999999999998E-2</v>
      </c>
      <c r="E46" s="26">
        <v>8.2000000000000003E-2</v>
      </c>
      <c r="F46" s="26">
        <v>5.7599999999999998E-2</v>
      </c>
      <c r="G46" s="26"/>
      <c r="H46" s="11">
        <v>2.9999999999999997E-4</v>
      </c>
      <c r="I46" s="26">
        <v>4.0000000000000002E-4</v>
      </c>
      <c r="J46" s="31">
        <v>2.9999999999999997E-4</v>
      </c>
      <c r="K46" s="19"/>
      <c r="L46" s="10"/>
    </row>
  </sheetData>
  <mergeCells count="8">
    <mergeCell ref="A30:A33"/>
    <mergeCell ref="A39:A41"/>
    <mergeCell ref="A42:A45"/>
    <mergeCell ref="A3:A5"/>
    <mergeCell ref="A6:A9"/>
    <mergeCell ref="A15:A17"/>
    <mergeCell ref="A18:A21"/>
    <mergeCell ref="A27:A29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2D54D-64D7-4A21-8D0D-8FEC90DF1760}">
  <dimension ref="A1:L9"/>
  <sheetViews>
    <sheetView workbookViewId="0">
      <selection activeCell="C62" sqref="C62"/>
    </sheetView>
  </sheetViews>
  <sheetFormatPr defaultColWidth="8.875" defaultRowHeight="15.75" x14ac:dyDescent="0.25"/>
  <sheetData>
    <row r="1" spans="1:12" x14ac:dyDescent="0.25">
      <c r="C1" t="s">
        <v>9</v>
      </c>
      <c r="E1" t="s">
        <v>10</v>
      </c>
      <c r="G1" t="s">
        <v>20</v>
      </c>
      <c r="I1" t="s">
        <v>21</v>
      </c>
      <c r="K1" t="s">
        <v>22</v>
      </c>
    </row>
    <row r="2" spans="1:12" x14ac:dyDescent="0.25">
      <c r="A2" s="24" t="s">
        <v>7</v>
      </c>
      <c r="B2" t="s">
        <v>0</v>
      </c>
      <c r="C2" s="22">
        <v>1.4936</v>
      </c>
      <c r="D2" s="22">
        <v>1.2214</v>
      </c>
      <c r="E2" s="22">
        <v>1.4628000000000001</v>
      </c>
      <c r="F2" s="22">
        <v>1.2463</v>
      </c>
      <c r="G2" s="22">
        <v>0.22070000000000001</v>
      </c>
      <c r="H2" s="22">
        <v>8.3199999999999996E-2</v>
      </c>
      <c r="I2" s="22">
        <v>7.51E-2</v>
      </c>
      <c r="J2" s="22">
        <v>2.2100000000000002E-2</v>
      </c>
      <c r="K2" s="22">
        <v>7.51E-2</v>
      </c>
      <c r="L2" s="22">
        <v>2.2100000000000002E-2</v>
      </c>
    </row>
    <row r="3" spans="1:12" x14ac:dyDescent="0.25">
      <c r="A3" s="24"/>
      <c r="B3" t="s">
        <v>5</v>
      </c>
      <c r="C3" s="22">
        <v>1.4676</v>
      </c>
      <c r="D3" s="22">
        <v>1.9830000000000001</v>
      </c>
      <c r="E3" s="22">
        <v>1.5238</v>
      </c>
      <c r="F3" s="22">
        <v>1.9875</v>
      </c>
      <c r="G3" s="22">
        <v>0.53269999999999995</v>
      </c>
      <c r="H3" s="22">
        <v>0.25600000000000001</v>
      </c>
      <c r="I3" s="22">
        <v>7.0499999999999993E-2</v>
      </c>
      <c r="J3" s="22">
        <v>8.2500000000000004E-2</v>
      </c>
      <c r="K3" s="22">
        <v>7.0499999999999993E-2</v>
      </c>
      <c r="L3" s="22">
        <v>8.2500000000000004E-2</v>
      </c>
    </row>
    <row r="4" spans="1:12" x14ac:dyDescent="0.25">
      <c r="A4" s="24"/>
      <c r="B4" t="s">
        <v>2</v>
      </c>
      <c r="C4" s="22">
        <v>0.47649999999999998</v>
      </c>
      <c r="D4" s="22">
        <v>0.24010000000000001</v>
      </c>
      <c r="E4" s="22">
        <v>0.46210000000000001</v>
      </c>
      <c r="F4" s="22">
        <v>0.25309999999999999</v>
      </c>
      <c r="G4" s="23">
        <v>0.1033</v>
      </c>
      <c r="H4" s="23">
        <v>9.69E-2</v>
      </c>
      <c r="I4" s="10">
        <v>0.44259999999999999</v>
      </c>
      <c r="J4" s="10">
        <v>6.2700000000000006E-2</v>
      </c>
      <c r="K4" s="10">
        <v>0.44259999999999999</v>
      </c>
      <c r="L4" s="10">
        <v>6.2700000000000006E-2</v>
      </c>
    </row>
    <row r="5" spans="1:12" x14ac:dyDescent="0.25">
      <c r="A5" s="24" t="s">
        <v>8</v>
      </c>
      <c r="B5" t="s">
        <v>3</v>
      </c>
      <c r="C5" s="22">
        <v>0.14779999999999999</v>
      </c>
      <c r="D5" s="22">
        <v>1.52E-2</v>
      </c>
      <c r="E5" s="22">
        <v>0.1053</v>
      </c>
      <c r="F5" s="22">
        <v>6.6E-3</v>
      </c>
      <c r="G5" s="22">
        <v>7.5700000000000003E-2</v>
      </c>
      <c r="H5" s="22">
        <v>3.9600000000000003E-2</v>
      </c>
      <c r="I5" s="22">
        <v>3.09E-2</v>
      </c>
      <c r="J5" s="22">
        <v>1.03E-2</v>
      </c>
      <c r="K5" s="22">
        <v>2.4899999999999999E-2</v>
      </c>
      <c r="L5" s="22">
        <v>8.3999999999999995E-3</v>
      </c>
    </row>
    <row r="6" spans="1:12" x14ac:dyDescent="0.25">
      <c r="A6" s="24"/>
      <c r="B6" t="s">
        <v>5</v>
      </c>
      <c r="C6" s="22">
        <v>9.1999999999999998E-2</v>
      </c>
      <c r="D6" s="22">
        <v>0.1018</v>
      </c>
      <c r="E6" s="22">
        <v>0.18870000000000001</v>
      </c>
      <c r="F6" s="22">
        <v>9.6600000000000005E-2</v>
      </c>
      <c r="G6" s="22">
        <v>0.31480000000000002</v>
      </c>
      <c r="H6" s="22">
        <v>0.28460000000000002</v>
      </c>
      <c r="I6" s="22">
        <v>6.8400000000000002E-2</v>
      </c>
      <c r="J6" s="22">
        <v>9.1600000000000001E-2</v>
      </c>
      <c r="K6" s="22">
        <v>6.0699999999999997E-2</v>
      </c>
      <c r="L6" s="22">
        <v>7.8299999999999995E-2</v>
      </c>
    </row>
    <row r="7" spans="1:12" x14ac:dyDescent="0.25">
      <c r="A7" s="24"/>
      <c r="B7" t="s">
        <v>4</v>
      </c>
      <c r="C7" s="22">
        <v>0.26090000000000002</v>
      </c>
      <c r="D7" s="22">
        <v>8.3999999999999995E-3</v>
      </c>
      <c r="E7" s="22">
        <v>0.2014</v>
      </c>
      <c r="F7" s="22">
        <v>5.8999999999999999E-3</v>
      </c>
      <c r="G7" s="22">
        <v>3.4299999999999997E-2</v>
      </c>
      <c r="H7" s="22">
        <v>2.35E-2</v>
      </c>
      <c r="I7" s="22">
        <v>4.0599999999999997E-2</v>
      </c>
      <c r="J7" s="22">
        <v>7.6E-3</v>
      </c>
      <c r="K7" s="22">
        <v>2.3699999999999999E-2</v>
      </c>
      <c r="L7" s="22">
        <v>1.4200000000000001E-2</v>
      </c>
    </row>
    <row r="8" spans="1:12" x14ac:dyDescent="0.25">
      <c r="A8" s="24"/>
      <c r="B8" t="s">
        <v>2</v>
      </c>
      <c r="C8" s="22">
        <v>0.4022</v>
      </c>
      <c r="D8" s="22">
        <v>0.24490000000000001</v>
      </c>
      <c r="E8" s="22">
        <v>0.44869999999999999</v>
      </c>
      <c r="F8" s="22">
        <v>0.23849999999999999</v>
      </c>
      <c r="G8" s="23">
        <v>0.2177</v>
      </c>
      <c r="H8" s="23">
        <v>0.1018</v>
      </c>
      <c r="I8" s="22">
        <v>0.35249999999999998</v>
      </c>
      <c r="J8" s="22">
        <v>9.06E-2</v>
      </c>
      <c r="K8" s="22">
        <v>0.30420000000000003</v>
      </c>
      <c r="L8" s="22">
        <v>9.6299999999999997E-2</v>
      </c>
    </row>
    <row r="9" spans="1:12" x14ac:dyDescent="0.25">
      <c r="B9" t="s">
        <v>6</v>
      </c>
      <c r="C9" s="22">
        <v>0.38040000000000002</v>
      </c>
      <c r="D9" s="22">
        <v>4.7800000000000002E-2</v>
      </c>
      <c r="E9" s="22">
        <v>0.36930000000000002</v>
      </c>
      <c r="F9" s="22">
        <v>2.7900000000000001E-2</v>
      </c>
      <c r="G9" s="22">
        <v>5.0000000000000001E-4</v>
      </c>
      <c r="H9" s="22">
        <v>1.1000000000000001E-3</v>
      </c>
      <c r="I9" s="22">
        <v>2.9999999999999997E-4</v>
      </c>
      <c r="J9" s="22">
        <v>1E-4</v>
      </c>
      <c r="K9" s="22">
        <v>5.0000000000000001E-4</v>
      </c>
      <c r="L9" s="22">
        <v>1E-4</v>
      </c>
    </row>
  </sheetData>
  <mergeCells count="2">
    <mergeCell ref="A2:A4"/>
    <mergeCell ref="A5:A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application</vt:lpstr>
      <vt:lpstr>application_final</vt:lpstr>
      <vt:lpstr>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Reetam Majumder</dc:creator>
  <cp:lastModifiedBy>Reetam Majumder</cp:lastModifiedBy>
  <dcterms:created xsi:type="dcterms:W3CDTF">2025-09-23T13:15:30Z</dcterms:created>
  <dcterms:modified xsi:type="dcterms:W3CDTF">2025-11-03T21:59:53Z</dcterms:modified>
</cp:coreProperties>
</file>