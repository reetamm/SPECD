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rk-my.sharepoint.com/personal/reetamm_uark_edu/Documents/documents/GitHub/nflows/"/>
    </mc:Choice>
  </mc:AlternateContent>
  <xr:revisionPtr revIDLastSave="0" documentId="6_{62561340-28F8-4B32-AB2C-2EDB3AE13201}" xr6:coauthVersionLast="47" xr6:coauthVersionMax="47" xr10:uidLastSave="{00000000-0000-0000-0000-000000000000}"/>
  <bookViews>
    <workbookView xWindow="900" yWindow="2205" windowWidth="9390" windowHeight="9810" activeTab="1" xr2:uid="{6902B945-74B7-E74A-A5D5-95B25980250C}"/>
  </bookViews>
  <sheets>
    <sheet name="application" sheetId="1" state="hidden" r:id="rId1"/>
    <sheet name="application_final" sheetId="3" r:id="rId2"/>
    <sheet name="sim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M3" i="1"/>
  <c r="L3" i="1"/>
</calcChain>
</file>

<file path=xl/sharedStrings.xml><?xml version="1.0" encoding="utf-8"?>
<sst xmlns="http://schemas.openxmlformats.org/spreadsheetml/2006/main" count="129" uniqueCount="30">
  <si>
    <t>Wass</t>
  </si>
  <si>
    <t>autocorr</t>
  </si>
  <si>
    <t>spatcorr</t>
  </si>
  <si>
    <t>wass</t>
  </si>
  <si>
    <t>prop zero</t>
  </si>
  <si>
    <t>tail</t>
  </si>
  <si>
    <t>crosscorr</t>
  </si>
  <si>
    <t>tmax</t>
  </si>
  <si>
    <t>prcp</t>
  </si>
  <si>
    <t>CCA</t>
  </si>
  <si>
    <t>QM</t>
  </si>
  <si>
    <t>SPCDE old</t>
  </si>
  <si>
    <t>space lonlat MLE</t>
  </si>
  <si>
    <t>space MLE</t>
  </si>
  <si>
    <t>spacetime MLE</t>
  </si>
  <si>
    <t>space lonlat MAP</t>
  </si>
  <si>
    <t>space MAP</t>
  </si>
  <si>
    <t>spacetime MAP</t>
  </si>
  <si>
    <t>SE</t>
  </si>
  <si>
    <t>SW</t>
  </si>
  <si>
    <t>SPCDE</t>
  </si>
  <si>
    <t>SPCDE_QM</t>
  </si>
  <si>
    <t>SPCDE_CCA</t>
  </si>
  <si>
    <t>m=5</t>
  </si>
  <si>
    <t>m=3</t>
  </si>
  <si>
    <t>m=10</t>
  </si>
  <si>
    <t>.</t>
  </si>
  <si>
    <t>Validation</t>
  </si>
  <si>
    <t>Full data</t>
  </si>
  <si>
    <t>m=5,nolonlat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</si>
</sst>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0" fillId="2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67CFB-EEEC-374D-A628-6D98B015699A}">
  <dimension ref="A2:M26"/>
  <sheetViews>
    <sheetView workbookViewId="0">
      <selection activeCell="I25" sqref="I25"/>
    </sheetView>
  </sheetViews>
  <sheetFormatPr defaultColWidth="11" defaultRowHeight="15.75" x14ac:dyDescent="0.25"/>
  <cols>
    <col min="6" max="6" width="14.5" customWidth="1"/>
  </cols>
  <sheetData>
    <row r="2" spans="1:13" x14ac:dyDescent="0.25">
      <c r="A2" t="s">
        <v>19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3" x14ac:dyDescent="0.25">
      <c r="A3" s="5" t="s">
        <v>7</v>
      </c>
      <c r="B3" t="s">
        <v>0</v>
      </c>
      <c r="C3">
        <v>0.92700000000000005</v>
      </c>
      <c r="D3">
        <v>0.30730000000000002</v>
      </c>
      <c r="E3">
        <v>0.30009999999999998</v>
      </c>
      <c r="F3" s="1">
        <v>0.31950000000000001</v>
      </c>
      <c r="G3" s="2">
        <v>0.32050000000000001</v>
      </c>
      <c r="H3">
        <v>0.31580000000000003</v>
      </c>
      <c r="I3">
        <v>0.3619</v>
      </c>
      <c r="J3">
        <v>0.36859999999999998</v>
      </c>
      <c r="K3">
        <v>0.3251</v>
      </c>
      <c r="L3">
        <f>MIN(E3:K3)</f>
        <v>0.30009999999999998</v>
      </c>
      <c r="M3">
        <f>MIN(F3:K3)</f>
        <v>0.31580000000000003</v>
      </c>
    </row>
    <row r="4" spans="1:13" x14ac:dyDescent="0.25">
      <c r="A4" s="5"/>
      <c r="B4" t="s">
        <v>5</v>
      </c>
      <c r="C4" s="1">
        <v>0.92020000000000002</v>
      </c>
      <c r="D4">
        <v>1.1135999999999999</v>
      </c>
      <c r="E4">
        <v>1.2224999999999999</v>
      </c>
      <c r="F4">
        <v>1.1363000000000001</v>
      </c>
      <c r="G4">
        <v>1.1133999999999999</v>
      </c>
      <c r="H4">
        <v>1.163</v>
      </c>
      <c r="I4">
        <v>1.0575000000000001</v>
      </c>
      <c r="J4">
        <v>1.0611999999999999</v>
      </c>
      <c r="K4">
        <v>1.0121</v>
      </c>
      <c r="L4">
        <f t="shared" ref="L4:L26" si="0">MIN(E4:K4)</f>
        <v>1.0121</v>
      </c>
      <c r="M4">
        <f t="shared" ref="M4:M26" si="1">MIN(F4:K4)</f>
        <v>1.0121</v>
      </c>
    </row>
    <row r="5" spans="1:13" hidden="1" x14ac:dyDescent="0.25">
      <c r="A5" s="5"/>
      <c r="B5" t="s">
        <v>1</v>
      </c>
      <c r="C5">
        <v>0.68730000000000002</v>
      </c>
      <c r="D5">
        <v>0.63400000000000001</v>
      </c>
      <c r="E5">
        <v>8.7800000000000003E-2</v>
      </c>
      <c r="F5">
        <v>5.3699999999999998E-2</v>
      </c>
      <c r="G5">
        <v>5.3600000000000002E-2</v>
      </c>
      <c r="H5">
        <v>9.01E-2</v>
      </c>
      <c r="I5">
        <v>5.3100000000000001E-2</v>
      </c>
      <c r="J5">
        <v>5.2999999999999999E-2</v>
      </c>
      <c r="K5">
        <v>8.3099999999999993E-2</v>
      </c>
      <c r="L5">
        <f t="shared" si="0"/>
        <v>5.2999999999999999E-2</v>
      </c>
      <c r="M5">
        <f t="shared" si="1"/>
        <v>5.2999999999999999E-2</v>
      </c>
    </row>
    <row r="6" spans="1:13" x14ac:dyDescent="0.25">
      <c r="A6" s="5"/>
      <c r="B6" t="s">
        <v>2</v>
      </c>
      <c r="C6">
        <v>7.3700000000000002E-2</v>
      </c>
      <c r="D6">
        <v>6.7000000000000004E-2</v>
      </c>
      <c r="E6">
        <v>5.67E-2</v>
      </c>
      <c r="F6">
        <v>4.8500000000000001E-2</v>
      </c>
      <c r="G6" s="1">
        <v>4.87E-2</v>
      </c>
      <c r="H6">
        <v>5.21E-2</v>
      </c>
      <c r="I6">
        <v>4.07E-2</v>
      </c>
      <c r="J6">
        <v>4.07E-2</v>
      </c>
      <c r="K6">
        <v>3.95E-2</v>
      </c>
      <c r="L6">
        <f t="shared" si="0"/>
        <v>3.95E-2</v>
      </c>
      <c r="M6">
        <f t="shared" si="1"/>
        <v>3.95E-2</v>
      </c>
    </row>
    <row r="7" spans="1:13" x14ac:dyDescent="0.25">
      <c r="A7" s="5" t="s">
        <v>8</v>
      </c>
      <c r="B7" t="s">
        <v>3</v>
      </c>
      <c r="C7">
        <v>0.54269999999999996</v>
      </c>
      <c r="D7" s="1">
        <v>0.12559999999999999</v>
      </c>
      <c r="E7">
        <v>0.10489999999999999</v>
      </c>
      <c r="F7">
        <v>0.14860000000000001</v>
      </c>
      <c r="G7">
        <v>0.14660000000000001</v>
      </c>
      <c r="H7">
        <v>0.12239999999999999</v>
      </c>
      <c r="I7">
        <v>0.1469</v>
      </c>
      <c r="J7">
        <v>0.14979999999999999</v>
      </c>
      <c r="K7">
        <v>0.11609999999999999</v>
      </c>
      <c r="L7">
        <f t="shared" si="0"/>
        <v>0.10489999999999999</v>
      </c>
      <c r="M7">
        <f t="shared" si="1"/>
        <v>0.11609999999999999</v>
      </c>
    </row>
    <row r="8" spans="1:13" x14ac:dyDescent="0.25">
      <c r="A8" s="5"/>
      <c r="B8" t="s">
        <v>5</v>
      </c>
      <c r="C8">
        <v>2.3285</v>
      </c>
      <c r="D8" s="2">
        <v>1.6519999999999999</v>
      </c>
      <c r="E8">
        <v>1.7358</v>
      </c>
      <c r="F8" s="1">
        <v>1.6948000000000001</v>
      </c>
      <c r="G8">
        <v>1.6704000000000001</v>
      </c>
      <c r="H8">
        <v>1.7757000000000001</v>
      </c>
      <c r="I8">
        <v>1.9383999999999999</v>
      </c>
      <c r="J8">
        <v>1.9638</v>
      </c>
      <c r="K8">
        <v>1.7507999999999999</v>
      </c>
      <c r="L8">
        <f t="shared" si="0"/>
        <v>1.6704000000000001</v>
      </c>
      <c r="M8">
        <f t="shared" si="1"/>
        <v>1.6704000000000001</v>
      </c>
    </row>
    <row r="9" spans="1:13" x14ac:dyDescent="0.25">
      <c r="A9" s="5"/>
      <c r="B9" t="s">
        <v>4</v>
      </c>
      <c r="C9">
        <v>0.21110000000000001</v>
      </c>
      <c r="D9">
        <v>0.22270000000000001</v>
      </c>
      <c r="E9">
        <v>0.1222</v>
      </c>
      <c r="F9" s="1">
        <v>0.1308</v>
      </c>
      <c r="G9" s="1">
        <v>0.1308</v>
      </c>
      <c r="H9">
        <v>0.12540000000000001</v>
      </c>
      <c r="I9">
        <v>0.123</v>
      </c>
      <c r="J9">
        <v>0.12429999999999999</v>
      </c>
      <c r="K9">
        <v>0.11749999999999999</v>
      </c>
      <c r="L9">
        <f t="shared" si="0"/>
        <v>0.11749999999999999</v>
      </c>
      <c r="M9">
        <f t="shared" si="1"/>
        <v>0.11749999999999999</v>
      </c>
    </row>
    <row r="10" spans="1:13" hidden="1" x14ac:dyDescent="0.25">
      <c r="A10" s="5"/>
      <c r="B10" t="s">
        <v>1</v>
      </c>
      <c r="C10">
        <v>0.41020000000000001</v>
      </c>
      <c r="D10">
        <v>0.35389999999999999</v>
      </c>
      <c r="E10">
        <v>0.14410000000000001</v>
      </c>
      <c r="F10">
        <v>0.1605</v>
      </c>
      <c r="G10">
        <v>0.15959999999999999</v>
      </c>
      <c r="H10">
        <v>0.14760000000000001</v>
      </c>
      <c r="I10">
        <v>0.1681</v>
      </c>
      <c r="J10">
        <v>0.1673</v>
      </c>
      <c r="K10">
        <v>0.14760000000000001</v>
      </c>
      <c r="L10">
        <f t="shared" si="0"/>
        <v>0.14410000000000001</v>
      </c>
      <c r="M10">
        <f t="shared" si="1"/>
        <v>0.14760000000000001</v>
      </c>
    </row>
    <row r="11" spans="1:13" x14ac:dyDescent="0.25">
      <c r="A11" s="5"/>
      <c r="B11" t="s">
        <v>2</v>
      </c>
      <c r="C11">
        <v>0.12809999999999999</v>
      </c>
      <c r="D11">
        <v>0.1283</v>
      </c>
      <c r="E11">
        <v>0.1205</v>
      </c>
      <c r="F11" s="1">
        <v>0.1138</v>
      </c>
      <c r="G11" s="2">
        <v>0.1147</v>
      </c>
      <c r="H11">
        <v>0.1217</v>
      </c>
      <c r="I11">
        <v>9.3600000000000003E-2</v>
      </c>
      <c r="J11">
        <v>9.0800000000000006E-2</v>
      </c>
      <c r="K11">
        <v>9.3200000000000005E-2</v>
      </c>
      <c r="L11">
        <f t="shared" si="0"/>
        <v>9.0800000000000006E-2</v>
      </c>
      <c r="M11">
        <f t="shared" si="1"/>
        <v>9.0800000000000006E-2</v>
      </c>
    </row>
    <row r="12" spans="1:13" x14ac:dyDescent="0.25">
      <c r="B12" t="s">
        <v>6</v>
      </c>
      <c r="C12">
        <v>0.32090000000000002</v>
      </c>
      <c r="D12">
        <v>0.32090000000000002</v>
      </c>
      <c r="E12">
        <v>1.6999999999999999E-3</v>
      </c>
      <c r="F12" s="1">
        <v>1.5E-3</v>
      </c>
      <c r="G12" s="2">
        <v>1.6999999999999999E-3</v>
      </c>
      <c r="H12">
        <v>1E-3</v>
      </c>
      <c r="I12">
        <v>1.1999999999999999E-3</v>
      </c>
      <c r="J12">
        <v>1.2999999999999999E-3</v>
      </c>
      <c r="K12">
        <v>1.1000000000000001E-3</v>
      </c>
      <c r="L12">
        <f t="shared" si="0"/>
        <v>1E-3</v>
      </c>
      <c r="M12">
        <f t="shared" si="1"/>
        <v>1E-3</v>
      </c>
    </row>
    <row r="13" spans="1:13" x14ac:dyDescent="0.25">
      <c r="L13">
        <f t="shared" si="0"/>
        <v>0</v>
      </c>
      <c r="M13">
        <f t="shared" si="1"/>
        <v>0</v>
      </c>
    </row>
    <row r="14" spans="1:13" x14ac:dyDescent="0.25">
      <c r="L14">
        <f t="shared" si="0"/>
        <v>0</v>
      </c>
      <c r="M14">
        <f t="shared" si="1"/>
        <v>0</v>
      </c>
    </row>
    <row r="15" spans="1:13" x14ac:dyDescent="0.25">
      <c r="L15">
        <f t="shared" si="0"/>
        <v>0</v>
      </c>
      <c r="M15">
        <f t="shared" si="1"/>
        <v>0</v>
      </c>
    </row>
    <row r="16" spans="1:13" x14ac:dyDescent="0.25">
      <c r="A16" t="s">
        <v>18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  <c r="H16" t="s">
        <v>14</v>
      </c>
      <c r="I16" t="s">
        <v>15</v>
      </c>
      <c r="J16" t="s">
        <v>16</v>
      </c>
      <c r="K16" t="s">
        <v>17</v>
      </c>
      <c r="L16">
        <f t="shared" si="0"/>
        <v>0</v>
      </c>
      <c r="M16">
        <f t="shared" si="1"/>
        <v>0</v>
      </c>
    </row>
    <row r="17" spans="1:13" x14ac:dyDescent="0.25">
      <c r="A17" s="5" t="s">
        <v>7</v>
      </c>
      <c r="B17" t="s">
        <v>0</v>
      </c>
      <c r="C17">
        <v>1.3453999999999999</v>
      </c>
      <c r="D17">
        <v>1.6735</v>
      </c>
      <c r="E17">
        <v>1.0377000000000001</v>
      </c>
      <c r="F17">
        <v>0.90129999999999999</v>
      </c>
      <c r="G17" s="1">
        <v>0.89590000000000003</v>
      </c>
      <c r="H17">
        <v>0.99660000000000004</v>
      </c>
      <c r="I17">
        <v>0.82599999999999996</v>
      </c>
      <c r="J17">
        <v>0.83230000000000004</v>
      </c>
      <c r="K17">
        <v>0.9899</v>
      </c>
      <c r="L17">
        <f t="shared" si="0"/>
        <v>0.82599999999999996</v>
      </c>
      <c r="M17">
        <f t="shared" si="1"/>
        <v>0.82599999999999996</v>
      </c>
    </row>
    <row r="18" spans="1:13" x14ac:dyDescent="0.25">
      <c r="A18" s="5"/>
      <c r="B18" t="s">
        <v>5</v>
      </c>
      <c r="C18">
        <v>1.7515000000000001</v>
      </c>
      <c r="D18">
        <v>2.222</v>
      </c>
      <c r="E18">
        <v>1.4198</v>
      </c>
      <c r="F18" s="1">
        <v>1.246</v>
      </c>
      <c r="G18" s="2">
        <v>1.2639</v>
      </c>
      <c r="H18">
        <v>1.4242999999999999</v>
      </c>
      <c r="I18">
        <v>1.0648</v>
      </c>
      <c r="J18">
        <v>1.1298999999999999</v>
      </c>
      <c r="K18">
        <v>1.2249000000000001</v>
      </c>
      <c r="L18">
        <f t="shared" si="0"/>
        <v>1.0648</v>
      </c>
      <c r="M18">
        <f t="shared" si="1"/>
        <v>1.0648</v>
      </c>
    </row>
    <row r="19" spans="1:13" hidden="1" x14ac:dyDescent="0.25">
      <c r="A19" s="5"/>
      <c r="B19" t="s">
        <v>1</v>
      </c>
      <c r="C19">
        <v>0.67679999999999996</v>
      </c>
      <c r="D19">
        <v>0.62609999999999999</v>
      </c>
      <c r="E19">
        <v>6.1699999999999998E-2</v>
      </c>
      <c r="F19">
        <v>6.2700000000000006E-2</v>
      </c>
      <c r="G19">
        <v>6.1499999999999999E-2</v>
      </c>
      <c r="H19">
        <v>5.7700000000000001E-2</v>
      </c>
      <c r="I19">
        <v>6.5100000000000005E-2</v>
      </c>
      <c r="J19">
        <v>6.4000000000000001E-2</v>
      </c>
      <c r="K19">
        <v>6.4199999999999993E-2</v>
      </c>
      <c r="L19">
        <f t="shared" si="0"/>
        <v>5.7700000000000001E-2</v>
      </c>
      <c r="M19">
        <f t="shared" si="1"/>
        <v>5.7700000000000001E-2</v>
      </c>
    </row>
    <row r="20" spans="1:13" x14ac:dyDescent="0.25">
      <c r="A20" s="5"/>
      <c r="B20" t="s">
        <v>2</v>
      </c>
      <c r="C20">
        <v>6.5299999999999997E-2</v>
      </c>
      <c r="D20">
        <v>6.3899999999999998E-2</v>
      </c>
      <c r="E20">
        <v>2.3099999999999999E-2</v>
      </c>
      <c r="F20">
        <v>2.4199999999999999E-2</v>
      </c>
      <c r="G20" s="1">
        <v>2.3199999999999998E-2</v>
      </c>
      <c r="H20">
        <v>2.4400000000000002E-2</v>
      </c>
      <c r="I20">
        <v>3.2800000000000003E-2</v>
      </c>
      <c r="J20">
        <v>3.1800000000000002E-2</v>
      </c>
      <c r="K20">
        <v>3.78E-2</v>
      </c>
      <c r="L20">
        <f t="shared" si="0"/>
        <v>2.3099999999999999E-2</v>
      </c>
      <c r="M20">
        <f t="shared" si="1"/>
        <v>2.3199999999999998E-2</v>
      </c>
    </row>
    <row r="21" spans="1:13" x14ac:dyDescent="0.25">
      <c r="A21" s="5" t="s">
        <v>8</v>
      </c>
      <c r="B21" t="s">
        <v>3</v>
      </c>
      <c r="C21">
        <v>0.85729999999999995</v>
      </c>
      <c r="D21">
        <v>0.47799999999999998</v>
      </c>
      <c r="E21">
        <v>0.30570000000000003</v>
      </c>
      <c r="F21">
        <v>0.26590000000000003</v>
      </c>
      <c r="G21" s="1">
        <v>0.24410000000000001</v>
      </c>
      <c r="H21">
        <v>0.42699999999999999</v>
      </c>
      <c r="I21">
        <v>0.32800000000000001</v>
      </c>
      <c r="J21">
        <v>0.30630000000000002</v>
      </c>
      <c r="K21">
        <v>0.40489999999999998</v>
      </c>
      <c r="L21">
        <f t="shared" si="0"/>
        <v>0.24410000000000001</v>
      </c>
      <c r="M21">
        <f t="shared" si="1"/>
        <v>0.24410000000000001</v>
      </c>
    </row>
    <row r="22" spans="1:13" x14ac:dyDescent="0.25">
      <c r="A22" s="5"/>
      <c r="B22" t="s">
        <v>5</v>
      </c>
      <c r="C22">
        <v>4.9543999999999997</v>
      </c>
      <c r="D22">
        <v>5.8247</v>
      </c>
      <c r="E22">
        <v>4.9077000000000002</v>
      </c>
      <c r="F22">
        <v>4.9421999999999997</v>
      </c>
      <c r="G22" s="1">
        <v>4.7138999999999998</v>
      </c>
      <c r="H22">
        <v>5.1134000000000004</v>
      </c>
      <c r="I22">
        <v>4.9363999999999999</v>
      </c>
      <c r="J22">
        <v>4.6100000000000003</v>
      </c>
      <c r="K22">
        <v>5.1741000000000001</v>
      </c>
      <c r="L22">
        <f t="shared" si="0"/>
        <v>4.6100000000000003</v>
      </c>
      <c r="M22">
        <f t="shared" si="1"/>
        <v>4.6100000000000003</v>
      </c>
    </row>
    <row r="23" spans="1:13" x14ac:dyDescent="0.25">
      <c r="A23" s="5"/>
      <c r="B23" t="s">
        <v>4</v>
      </c>
      <c r="C23">
        <v>0.1056</v>
      </c>
      <c r="D23">
        <v>0.1978</v>
      </c>
      <c r="E23">
        <v>8.1799999999999998E-2</v>
      </c>
      <c r="F23" s="1">
        <v>9.9500000000000005E-2</v>
      </c>
      <c r="G23" s="2">
        <v>9.98E-2</v>
      </c>
      <c r="H23">
        <v>8.48E-2</v>
      </c>
      <c r="I23">
        <v>0.10050000000000001</v>
      </c>
      <c r="J23">
        <v>0.1021</v>
      </c>
      <c r="K23">
        <v>9.5299999999999996E-2</v>
      </c>
      <c r="L23">
        <f t="shared" si="0"/>
        <v>8.1799999999999998E-2</v>
      </c>
      <c r="M23">
        <f t="shared" si="1"/>
        <v>8.48E-2</v>
      </c>
    </row>
    <row r="24" spans="1:13" hidden="1" x14ac:dyDescent="0.25">
      <c r="A24" s="5"/>
      <c r="B24" t="s">
        <v>1</v>
      </c>
      <c r="C24">
        <v>0.29780000000000001</v>
      </c>
      <c r="D24">
        <v>0.23619999999999999</v>
      </c>
      <c r="E24">
        <v>9.7000000000000003E-2</v>
      </c>
      <c r="F24">
        <v>0.1108</v>
      </c>
      <c r="G24">
        <v>0.11210000000000001</v>
      </c>
      <c r="H24">
        <v>0.10100000000000001</v>
      </c>
      <c r="I24">
        <v>0.11070000000000001</v>
      </c>
      <c r="J24">
        <v>0.1108</v>
      </c>
      <c r="K24">
        <v>0.1</v>
      </c>
      <c r="L24">
        <f t="shared" si="0"/>
        <v>9.7000000000000003E-2</v>
      </c>
      <c r="M24">
        <f t="shared" si="1"/>
        <v>0.1</v>
      </c>
    </row>
    <row r="25" spans="1:13" x14ac:dyDescent="0.25">
      <c r="A25" s="5"/>
      <c r="B25" t="s">
        <v>2</v>
      </c>
      <c r="C25">
        <v>0.1401</v>
      </c>
      <c r="D25">
        <v>0.13819999999999999</v>
      </c>
      <c r="E25">
        <v>5.28E-2</v>
      </c>
      <c r="F25" s="1">
        <v>5.3900000000000003E-2</v>
      </c>
      <c r="G25" s="2">
        <v>5.6500000000000002E-2</v>
      </c>
      <c r="H25">
        <v>5.8500000000000003E-2</v>
      </c>
      <c r="I25">
        <v>4.82E-2</v>
      </c>
      <c r="J25">
        <v>4.7E-2</v>
      </c>
      <c r="K25">
        <v>5.2699999999999997E-2</v>
      </c>
      <c r="L25">
        <f t="shared" si="0"/>
        <v>4.7E-2</v>
      </c>
      <c r="M25">
        <f t="shared" si="1"/>
        <v>4.7E-2</v>
      </c>
    </row>
    <row r="26" spans="1:13" x14ac:dyDescent="0.25">
      <c r="B26" t="s">
        <v>6</v>
      </c>
      <c r="C26">
        <v>0.10390000000000001</v>
      </c>
      <c r="D26">
        <v>0.10390000000000001</v>
      </c>
      <c r="E26">
        <v>5.9999999999999995E-4</v>
      </c>
      <c r="F26" s="1">
        <v>6.9999999999999999E-4</v>
      </c>
      <c r="G26" s="1">
        <v>6.9999999999999999E-4</v>
      </c>
      <c r="H26">
        <v>4.0000000000000002E-4</v>
      </c>
      <c r="I26">
        <v>6.9999999999999999E-4</v>
      </c>
      <c r="J26">
        <v>6.9999999999999999E-4</v>
      </c>
      <c r="K26">
        <v>5.0000000000000001E-4</v>
      </c>
      <c r="L26">
        <f t="shared" si="0"/>
        <v>4.0000000000000002E-4</v>
      </c>
      <c r="M26">
        <f t="shared" si="1"/>
        <v>4.0000000000000002E-4</v>
      </c>
    </row>
  </sheetData>
  <mergeCells count="4">
    <mergeCell ref="A3:A6"/>
    <mergeCell ref="A7:A11"/>
    <mergeCell ref="A17:A20"/>
    <mergeCell ref="A21:A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2D6A-14D1-F241-87EF-EAF3331B59EB}">
  <dimension ref="A1:H46"/>
  <sheetViews>
    <sheetView tabSelected="1" zoomScale="70" zoomScaleNormal="70" workbookViewId="0">
      <selection activeCell="H11" sqref="H11"/>
    </sheetView>
  </sheetViews>
  <sheetFormatPr defaultColWidth="11" defaultRowHeight="15.75" x14ac:dyDescent="0.25"/>
  <sheetData>
    <row r="1" spans="1:8" x14ac:dyDescent="0.25">
      <c r="A1" t="s">
        <v>27</v>
      </c>
    </row>
    <row r="2" spans="1:8" x14ac:dyDescent="0.25">
      <c r="A2" t="s">
        <v>19</v>
      </c>
      <c r="C2" t="s">
        <v>9</v>
      </c>
      <c r="D2" t="s">
        <v>10</v>
      </c>
      <c r="E2" t="s">
        <v>24</v>
      </c>
      <c r="F2" t="s">
        <v>23</v>
      </c>
      <c r="G2" t="s">
        <v>25</v>
      </c>
      <c r="H2" t="s">
        <v>29</v>
      </c>
    </row>
    <row r="3" spans="1:8" x14ac:dyDescent="0.25">
      <c r="A3" s="5" t="s">
        <v>7</v>
      </c>
      <c r="B3" t="s">
        <v>0</v>
      </c>
      <c r="C3">
        <v>0.92700000000000005</v>
      </c>
      <c r="D3">
        <v>0.30730000000000002</v>
      </c>
      <c r="E3">
        <v>0.30480000000000002</v>
      </c>
      <c r="F3">
        <v>0.31950000000000001</v>
      </c>
      <c r="G3">
        <v>0.32840000000000003</v>
      </c>
      <c r="H3">
        <v>0.3216</v>
      </c>
    </row>
    <row r="4" spans="1:8" x14ac:dyDescent="0.25">
      <c r="A4" s="5"/>
      <c r="B4" t="s">
        <v>5</v>
      </c>
      <c r="C4" s="1">
        <v>0.74909999999999999</v>
      </c>
      <c r="D4">
        <v>0.94620000000000004</v>
      </c>
      <c r="E4">
        <v>0.89449999999999996</v>
      </c>
      <c r="F4">
        <v>0.90810000000000002</v>
      </c>
      <c r="G4">
        <v>0.91169999999999995</v>
      </c>
      <c r="H4">
        <v>0.88160000000000005</v>
      </c>
    </row>
    <row r="5" spans="1:8" s="4" customFormat="1" x14ac:dyDescent="0.25">
      <c r="A5" s="5"/>
      <c r="B5" s="4" t="s">
        <v>2</v>
      </c>
      <c r="C5" s="4">
        <v>4.1799999999999997E-2</v>
      </c>
      <c r="D5" s="4">
        <v>3.7400000000000003E-2</v>
      </c>
      <c r="E5" s="4">
        <v>4.8800000000000003E-2</v>
      </c>
      <c r="F5" s="4">
        <v>3.9899999999999998E-2</v>
      </c>
      <c r="G5" s="4">
        <v>3.73E-2</v>
      </c>
      <c r="H5" s="4">
        <v>3.9399999999999998E-2</v>
      </c>
    </row>
    <row r="6" spans="1:8" x14ac:dyDescent="0.25">
      <c r="A6" s="5" t="s">
        <v>8</v>
      </c>
      <c r="B6" t="s">
        <v>3</v>
      </c>
      <c r="C6">
        <v>0.54269999999999996</v>
      </c>
      <c r="D6" s="1">
        <v>0.12559999999999999</v>
      </c>
      <c r="E6">
        <v>0.13969999999999999</v>
      </c>
      <c r="F6">
        <v>0.14860000000000001</v>
      </c>
      <c r="G6">
        <v>0.14580000000000001</v>
      </c>
      <c r="H6">
        <v>0.14699999999999999</v>
      </c>
    </row>
    <row r="7" spans="1:8" x14ac:dyDescent="0.25">
      <c r="A7" s="5"/>
      <c r="B7" t="s">
        <v>5</v>
      </c>
      <c r="C7">
        <v>1.927</v>
      </c>
      <c r="D7" s="2">
        <v>1.276</v>
      </c>
      <c r="E7">
        <v>1.2889999999999999</v>
      </c>
      <c r="F7">
        <v>1.2894000000000001</v>
      </c>
      <c r="G7">
        <v>1.3023</v>
      </c>
      <c r="H7">
        <v>1.2714000000000001</v>
      </c>
    </row>
    <row r="8" spans="1:8" x14ac:dyDescent="0.25">
      <c r="A8" s="5"/>
      <c r="B8" t="s">
        <v>4</v>
      </c>
      <c r="C8">
        <v>0.1764</v>
      </c>
      <c r="D8">
        <v>0.17080000000000001</v>
      </c>
      <c r="E8">
        <v>0.10340000000000001</v>
      </c>
      <c r="F8">
        <v>0.1036</v>
      </c>
      <c r="G8">
        <v>0.1032</v>
      </c>
      <c r="H8">
        <v>0.10349999999999999</v>
      </c>
    </row>
    <row r="9" spans="1:8" s="4" customFormat="1" x14ac:dyDescent="0.25">
      <c r="A9" s="5"/>
      <c r="B9" s="4" t="s">
        <v>2</v>
      </c>
      <c r="C9" s="4">
        <v>9.6100000000000005E-2</v>
      </c>
      <c r="D9" s="4">
        <v>0.11650000000000001</v>
      </c>
      <c r="E9" s="4">
        <v>0.12740000000000001</v>
      </c>
      <c r="F9" s="4">
        <v>0.1275</v>
      </c>
      <c r="G9" s="4">
        <v>0.12839999999999999</v>
      </c>
      <c r="H9" s="4">
        <v>0.12770000000000001</v>
      </c>
    </row>
    <row r="10" spans="1:8" x14ac:dyDescent="0.25">
      <c r="B10" t="s">
        <v>6</v>
      </c>
      <c r="C10">
        <v>0.29749999999999999</v>
      </c>
      <c r="D10">
        <v>0.29749999999999999</v>
      </c>
      <c r="E10">
        <v>8.0000000000000004E-4</v>
      </c>
      <c r="F10">
        <v>8.0000000000000004E-4</v>
      </c>
      <c r="G10">
        <v>8.0000000000000004E-4</v>
      </c>
      <c r="H10">
        <v>8.0000000000000004E-4</v>
      </c>
    </row>
    <row r="14" spans="1:8" x14ac:dyDescent="0.25">
      <c r="A14" t="s">
        <v>18</v>
      </c>
      <c r="C14" t="s">
        <v>9</v>
      </c>
      <c r="D14" t="s">
        <v>10</v>
      </c>
      <c r="E14" t="s">
        <v>24</v>
      </c>
      <c r="F14" t="s">
        <v>23</v>
      </c>
      <c r="G14" t="s">
        <v>25</v>
      </c>
      <c r="H14" t="s">
        <v>29</v>
      </c>
    </row>
    <row r="15" spans="1:8" x14ac:dyDescent="0.25">
      <c r="A15" s="5" t="s">
        <v>7</v>
      </c>
      <c r="B15" t="s">
        <v>0</v>
      </c>
      <c r="C15">
        <v>1.3453999999999999</v>
      </c>
      <c r="D15">
        <v>1.6735</v>
      </c>
      <c r="E15">
        <v>0.90720000000000001</v>
      </c>
      <c r="F15">
        <v>0.90129999999999999</v>
      </c>
      <c r="G15">
        <v>0.89800000000000002</v>
      </c>
      <c r="H15">
        <v>0.90159999999999996</v>
      </c>
    </row>
    <row r="16" spans="1:8" x14ac:dyDescent="0.25">
      <c r="A16" s="5"/>
      <c r="B16" t="s">
        <v>5</v>
      </c>
      <c r="C16">
        <v>1.2756000000000001</v>
      </c>
      <c r="D16">
        <v>1.7665999999999999</v>
      </c>
      <c r="E16">
        <v>0.96599999999999997</v>
      </c>
      <c r="F16">
        <v>0.95640000000000003</v>
      </c>
      <c r="G16">
        <v>1.0222</v>
      </c>
      <c r="H16">
        <v>0.98860000000000003</v>
      </c>
    </row>
    <row r="17" spans="1:8" s="4" customFormat="1" x14ac:dyDescent="0.25">
      <c r="A17" s="5"/>
      <c r="B17" s="4" t="s">
        <v>2</v>
      </c>
      <c r="C17" s="4">
        <v>5.7599999999999998E-2</v>
      </c>
      <c r="D17" s="4">
        <v>5.7099999999999998E-2</v>
      </c>
      <c r="E17" s="4">
        <v>3.7100000000000001E-2</v>
      </c>
      <c r="F17" s="4">
        <v>3.5999999999999997E-2</v>
      </c>
      <c r="G17" s="4">
        <v>3.5499999999999997E-2</v>
      </c>
      <c r="H17" s="4">
        <v>3.5900000000000001E-2</v>
      </c>
    </row>
    <row r="18" spans="1:8" x14ac:dyDescent="0.25">
      <c r="A18" s="5" t="s">
        <v>8</v>
      </c>
      <c r="B18" t="s">
        <v>3</v>
      </c>
      <c r="C18">
        <v>0.85729999999999995</v>
      </c>
      <c r="D18">
        <v>0.47799999999999998</v>
      </c>
      <c r="E18">
        <v>0.25869999999999999</v>
      </c>
      <c r="F18">
        <v>0.26590000000000003</v>
      </c>
      <c r="G18">
        <v>0.2331</v>
      </c>
      <c r="H18">
        <v>0.24440000000000001</v>
      </c>
    </row>
    <row r="19" spans="1:8" x14ac:dyDescent="0.25">
      <c r="A19" s="5"/>
      <c r="B19" t="s">
        <v>5</v>
      </c>
      <c r="C19">
        <v>4.0202999999999998</v>
      </c>
      <c r="D19">
        <v>4.66</v>
      </c>
      <c r="E19">
        <v>3.8509000000000002</v>
      </c>
      <c r="F19">
        <v>4.1157000000000004</v>
      </c>
      <c r="G19">
        <v>4.0395000000000003</v>
      </c>
      <c r="H19">
        <v>3.8353000000000002</v>
      </c>
    </row>
    <row r="20" spans="1:8" x14ac:dyDescent="0.25">
      <c r="A20" s="5"/>
      <c r="B20" t="s">
        <v>4</v>
      </c>
      <c r="C20">
        <v>8.3900000000000002E-2</v>
      </c>
      <c r="D20">
        <v>0.1656</v>
      </c>
      <c r="E20">
        <v>8.09E-2</v>
      </c>
      <c r="F20">
        <v>8.4599999999999995E-2</v>
      </c>
      <c r="G20">
        <v>8.5800000000000001E-2</v>
      </c>
      <c r="H20">
        <v>8.48E-2</v>
      </c>
    </row>
    <row r="21" spans="1:8" s="4" customFormat="1" x14ac:dyDescent="0.25">
      <c r="A21" s="5"/>
      <c r="B21" s="4" t="s">
        <v>2</v>
      </c>
      <c r="C21" s="4">
        <v>9.0499999999999997E-2</v>
      </c>
      <c r="D21" s="4">
        <v>9.9400000000000002E-2</v>
      </c>
      <c r="E21" s="4">
        <v>7.9100000000000004E-2</v>
      </c>
      <c r="F21" s="4">
        <v>7.9399999999999998E-2</v>
      </c>
      <c r="G21" s="4">
        <v>7.9799999999999996E-2</v>
      </c>
      <c r="H21" s="4">
        <v>7.9100000000000004E-2</v>
      </c>
    </row>
    <row r="22" spans="1:8" x14ac:dyDescent="0.25">
      <c r="B22" t="s">
        <v>6</v>
      </c>
      <c r="C22">
        <v>8.5500000000000007E-2</v>
      </c>
      <c r="D22">
        <v>8.5500000000000007E-2</v>
      </c>
      <c r="E22">
        <v>5.0000000000000001E-4</v>
      </c>
      <c r="F22">
        <v>5.0000000000000001E-4</v>
      </c>
      <c r="G22">
        <v>5.0000000000000001E-4</v>
      </c>
      <c r="H22">
        <v>5.0000000000000001E-4</v>
      </c>
    </row>
    <row r="24" spans="1:8" x14ac:dyDescent="0.25">
      <c r="F24" t="s">
        <v>26</v>
      </c>
    </row>
    <row r="25" spans="1:8" x14ac:dyDescent="0.25">
      <c r="A25" t="s">
        <v>28</v>
      </c>
    </row>
    <row r="26" spans="1:8" x14ac:dyDescent="0.25">
      <c r="A26" t="s">
        <v>19</v>
      </c>
      <c r="C26" t="s">
        <v>9</v>
      </c>
      <c r="D26" t="s">
        <v>10</v>
      </c>
      <c r="E26" t="s">
        <v>24</v>
      </c>
      <c r="F26" t="s">
        <v>23</v>
      </c>
      <c r="G26" t="s">
        <v>25</v>
      </c>
    </row>
    <row r="27" spans="1:8" x14ac:dyDescent="0.25">
      <c r="A27" s="5" t="s">
        <v>7</v>
      </c>
      <c r="B27" t="s">
        <v>0</v>
      </c>
      <c r="C27">
        <v>0.12230000000000001</v>
      </c>
      <c r="D27">
        <v>0.1057</v>
      </c>
      <c r="F27">
        <v>0.1202</v>
      </c>
      <c r="G27">
        <v>0.12809999999999999</v>
      </c>
    </row>
    <row r="28" spans="1:8" x14ac:dyDescent="0.25">
      <c r="A28" s="5"/>
      <c r="B28" t="s">
        <v>5</v>
      </c>
      <c r="C28">
        <v>0.28770000000000001</v>
      </c>
      <c r="D28">
        <v>0.2329</v>
      </c>
      <c r="F28">
        <v>0.34620000000000001</v>
      </c>
      <c r="G28">
        <v>0.33500000000000002</v>
      </c>
    </row>
    <row r="29" spans="1:8" x14ac:dyDescent="0.25">
      <c r="A29" s="5"/>
      <c r="B29" s="4" t="s">
        <v>2</v>
      </c>
      <c r="C29" s="4">
        <v>6.0199999999999997E-2</v>
      </c>
      <c r="D29" s="4">
        <v>3.6700000000000003E-2</v>
      </c>
      <c r="E29" s="4"/>
      <c r="F29" s="4">
        <v>2.6599999999999999E-2</v>
      </c>
      <c r="G29" s="4">
        <v>2.3800000000000002E-2</v>
      </c>
    </row>
    <row r="30" spans="1:8" x14ac:dyDescent="0.25">
      <c r="A30" s="5" t="s">
        <v>8</v>
      </c>
      <c r="B30" t="s">
        <v>3</v>
      </c>
      <c r="C30">
        <v>0.4083</v>
      </c>
      <c r="D30" s="1">
        <v>0.1537</v>
      </c>
      <c r="F30">
        <v>7.4499999999999997E-2</v>
      </c>
      <c r="G30">
        <v>7.7600000000000002E-2</v>
      </c>
    </row>
    <row r="31" spans="1:8" x14ac:dyDescent="0.25">
      <c r="A31" s="5"/>
      <c r="B31" t="s">
        <v>5</v>
      </c>
      <c r="C31">
        <v>0.54579999999999995</v>
      </c>
      <c r="D31" s="2">
        <v>0.31809999999999999</v>
      </c>
      <c r="F31">
        <v>0.74119999999999997</v>
      </c>
      <c r="G31">
        <v>0.67479999999999996</v>
      </c>
    </row>
    <row r="32" spans="1:8" x14ac:dyDescent="0.25">
      <c r="A32" s="5"/>
      <c r="B32" t="s">
        <v>4</v>
      </c>
      <c r="C32">
        <v>0.23100000000000001</v>
      </c>
      <c r="D32" s="2">
        <v>0.18640000000000001</v>
      </c>
      <c r="F32">
        <v>3.1099999999999999E-2</v>
      </c>
      <c r="G32">
        <v>3.0200000000000001E-2</v>
      </c>
    </row>
    <row r="33" spans="1:7" x14ac:dyDescent="0.25">
      <c r="A33" s="5"/>
      <c r="B33" s="4" t="s">
        <v>2</v>
      </c>
      <c r="C33" s="4">
        <v>0.1439</v>
      </c>
      <c r="D33" s="4">
        <v>7.6100000000000001E-2</v>
      </c>
      <c r="E33" s="4"/>
      <c r="F33" s="4">
        <v>7.5800000000000006E-2</v>
      </c>
      <c r="G33" s="4">
        <v>7.3400000000000007E-2</v>
      </c>
    </row>
    <row r="34" spans="1:7" x14ac:dyDescent="0.25">
      <c r="B34" t="s">
        <v>6</v>
      </c>
      <c r="C34">
        <v>0.30690000000000001</v>
      </c>
      <c r="D34">
        <v>0.30690000000000001</v>
      </c>
      <c r="F34">
        <v>5.0000000000000001E-4</v>
      </c>
      <c r="G34">
        <v>5.0000000000000001E-4</v>
      </c>
    </row>
    <row r="38" spans="1:7" x14ac:dyDescent="0.25">
      <c r="A38" t="s">
        <v>18</v>
      </c>
      <c r="C38" t="s">
        <v>9</v>
      </c>
      <c r="D38" t="s">
        <v>10</v>
      </c>
      <c r="E38" t="s">
        <v>24</v>
      </c>
      <c r="F38" t="s">
        <v>23</v>
      </c>
      <c r="G38" t="s">
        <v>25</v>
      </c>
    </row>
    <row r="39" spans="1:7" x14ac:dyDescent="0.25">
      <c r="A39" s="5" t="s">
        <v>7</v>
      </c>
      <c r="B39" t="s">
        <v>0</v>
      </c>
      <c r="C39">
        <v>1.2413000000000001</v>
      </c>
      <c r="D39">
        <v>1.2391000000000001</v>
      </c>
      <c r="F39">
        <v>0.125</v>
      </c>
      <c r="G39">
        <v>0.1245</v>
      </c>
    </row>
    <row r="40" spans="1:7" x14ac:dyDescent="0.25">
      <c r="A40" s="5"/>
      <c r="B40" t="s">
        <v>5</v>
      </c>
      <c r="C40">
        <v>1.2202</v>
      </c>
      <c r="D40">
        <v>1.1217999999999999</v>
      </c>
      <c r="F40">
        <v>0.39129999999999998</v>
      </c>
      <c r="G40">
        <v>0.42259999999999998</v>
      </c>
    </row>
    <row r="41" spans="1:7" x14ac:dyDescent="0.25">
      <c r="A41" s="5"/>
      <c r="B41" s="4" t="s">
        <v>2</v>
      </c>
      <c r="C41" s="4">
        <v>5.2299999999999999E-2</v>
      </c>
      <c r="D41" s="4">
        <v>4.8500000000000001E-2</v>
      </c>
      <c r="E41" s="4"/>
      <c r="F41" s="4">
        <v>2.06E-2</v>
      </c>
      <c r="G41" s="4">
        <v>1.9800000000000002E-2</v>
      </c>
    </row>
    <row r="42" spans="1:7" x14ac:dyDescent="0.25">
      <c r="A42" s="5" t="s">
        <v>8</v>
      </c>
      <c r="B42" t="s">
        <v>3</v>
      </c>
      <c r="C42">
        <v>0.68510000000000004</v>
      </c>
      <c r="D42">
        <v>0.54990000000000006</v>
      </c>
      <c r="F42">
        <v>0.216</v>
      </c>
      <c r="G42">
        <v>0.2301</v>
      </c>
    </row>
    <row r="43" spans="1:7" x14ac:dyDescent="0.25">
      <c r="A43" s="5"/>
      <c r="B43" t="s">
        <v>5</v>
      </c>
      <c r="C43">
        <v>2.0962000000000001</v>
      </c>
      <c r="D43">
        <v>1.9834000000000001</v>
      </c>
      <c r="F43">
        <v>1.9207000000000001</v>
      </c>
      <c r="G43">
        <v>1.9759</v>
      </c>
    </row>
    <row r="44" spans="1:7" x14ac:dyDescent="0.25">
      <c r="A44" s="5"/>
      <c r="B44" t="s">
        <v>4</v>
      </c>
      <c r="C44">
        <v>0.1111</v>
      </c>
      <c r="D44">
        <v>0.14269999999999999</v>
      </c>
      <c r="F44">
        <v>2.07E-2</v>
      </c>
      <c r="G44">
        <v>1.9900000000000001E-2</v>
      </c>
    </row>
    <row r="45" spans="1:7" x14ac:dyDescent="0.25">
      <c r="A45" s="5"/>
      <c r="B45" s="4" t="s">
        <v>2</v>
      </c>
      <c r="C45" s="4">
        <v>9.6799999999999997E-2</v>
      </c>
      <c r="D45" s="4">
        <v>7.9100000000000004E-2</v>
      </c>
      <c r="E45" s="4"/>
      <c r="F45" s="4">
        <v>4.2500000000000003E-2</v>
      </c>
      <c r="G45" s="4">
        <v>4.2900000000000001E-2</v>
      </c>
    </row>
    <row r="46" spans="1:7" x14ac:dyDescent="0.25">
      <c r="B46" t="s">
        <v>6</v>
      </c>
      <c r="C46">
        <v>8.2000000000000003E-2</v>
      </c>
      <c r="D46">
        <v>8.2000000000000003E-2</v>
      </c>
      <c r="F46">
        <v>2.9999999999999997E-4</v>
      </c>
      <c r="G46">
        <v>2.9999999999999997E-4</v>
      </c>
    </row>
  </sheetData>
  <mergeCells count="8">
    <mergeCell ref="A30:A33"/>
    <mergeCell ref="A39:A41"/>
    <mergeCell ref="A42:A45"/>
    <mergeCell ref="A3:A5"/>
    <mergeCell ref="A6:A9"/>
    <mergeCell ref="A15:A17"/>
    <mergeCell ref="A18:A21"/>
    <mergeCell ref="A27:A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2D54D-64D7-4A21-8D0D-8FEC90DF1760}">
  <dimension ref="A1:G9"/>
  <sheetViews>
    <sheetView workbookViewId="0">
      <selection activeCell="E4" sqref="E4"/>
    </sheetView>
  </sheetViews>
  <sheetFormatPr defaultColWidth="8.875" defaultRowHeight="15.75" x14ac:dyDescent="0.25"/>
  <sheetData>
    <row r="1" spans="1:7" x14ac:dyDescent="0.25">
      <c r="A1" t="s">
        <v>19</v>
      </c>
      <c r="C1" t="s">
        <v>9</v>
      </c>
      <c r="D1" t="s">
        <v>10</v>
      </c>
      <c r="E1" t="s">
        <v>20</v>
      </c>
      <c r="F1" t="s">
        <v>21</v>
      </c>
      <c r="G1" t="s">
        <v>22</v>
      </c>
    </row>
    <row r="2" spans="1:7" x14ac:dyDescent="0.25">
      <c r="A2" s="5" t="s">
        <v>7</v>
      </c>
      <c r="B2" t="s">
        <v>0</v>
      </c>
      <c r="C2" s="3">
        <v>1.4936</v>
      </c>
      <c r="D2" s="3">
        <v>1.4628000000000001</v>
      </c>
      <c r="E2" s="3">
        <v>0.22070000000000001</v>
      </c>
    </row>
    <row r="3" spans="1:7" x14ac:dyDescent="0.25">
      <c r="A3" s="5"/>
      <c r="B3" t="s">
        <v>5</v>
      </c>
      <c r="C3" s="3">
        <v>1.9826999999999999</v>
      </c>
      <c r="D3" s="3">
        <v>1.9484999999999999</v>
      </c>
      <c r="E3" s="3">
        <v>0.58260000000000001</v>
      </c>
    </row>
    <row r="4" spans="1:7" x14ac:dyDescent="0.25">
      <c r="A4" s="5"/>
      <c r="B4" t="s">
        <v>2</v>
      </c>
      <c r="C4" s="3">
        <v>0.52869999999999995</v>
      </c>
      <c r="D4" s="3">
        <v>0.51870000000000005</v>
      </c>
      <c r="E4" s="3">
        <v>0.1295</v>
      </c>
    </row>
    <row r="5" spans="1:7" x14ac:dyDescent="0.25">
      <c r="A5" s="5" t="s">
        <v>8</v>
      </c>
      <c r="B5" t="s">
        <v>3</v>
      </c>
      <c r="C5" s="3">
        <v>2.1591999999999998</v>
      </c>
      <c r="D5" s="3">
        <v>1.619</v>
      </c>
      <c r="E5" s="3">
        <v>0.46189999999999998</v>
      </c>
    </row>
    <row r="6" spans="1:7" x14ac:dyDescent="0.25">
      <c r="A6" s="5"/>
      <c r="B6" t="s">
        <v>5</v>
      </c>
      <c r="C6" s="3">
        <v>7.9000000000000001E-2</v>
      </c>
      <c r="D6" s="3">
        <v>0.16700000000000001</v>
      </c>
      <c r="E6" s="3">
        <v>0.24970000000000001</v>
      </c>
    </row>
    <row r="7" spans="1:7" x14ac:dyDescent="0.25">
      <c r="A7" s="5"/>
      <c r="B7" t="s">
        <v>4</v>
      </c>
      <c r="C7" s="3">
        <v>0.26100000000000001</v>
      </c>
      <c r="D7" s="3">
        <v>0.20150000000000001</v>
      </c>
      <c r="E7" s="3">
        <v>3.8899999999999997E-2</v>
      </c>
    </row>
    <row r="8" spans="1:7" x14ac:dyDescent="0.25">
      <c r="A8" s="5"/>
      <c r="B8" t="s">
        <v>2</v>
      </c>
      <c r="C8" s="3">
        <v>0.45219999999999999</v>
      </c>
      <c r="D8" s="3">
        <v>0.48220000000000002</v>
      </c>
      <c r="E8" s="3">
        <v>0.2258</v>
      </c>
    </row>
    <row r="9" spans="1:7" x14ac:dyDescent="0.25">
      <c r="B9" t="s">
        <v>6</v>
      </c>
      <c r="C9" s="3">
        <v>0.30159999999999998</v>
      </c>
      <c r="D9" s="3">
        <v>0.37380000000000002</v>
      </c>
      <c r="E9" s="3">
        <v>5.9999999999999995E-4</v>
      </c>
    </row>
  </sheetData>
  <mergeCells count="2">
    <mergeCell ref="A2:A4"/>
    <mergeCell ref="A5:A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</vt:lpstr>
      <vt:lpstr>application_final</vt:lpstr>
      <vt:lpstr>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Reetam Majumder</dc:creator>
  <cp:lastModifiedBy>Reetam Majumder</cp:lastModifiedBy>
  <dcterms:created xsi:type="dcterms:W3CDTF">2025-09-23T13:15:30Z</dcterms:created>
  <dcterms:modified xsi:type="dcterms:W3CDTF">2025-09-29T00:04:43Z</dcterms:modified>
</cp:coreProperties>
</file>